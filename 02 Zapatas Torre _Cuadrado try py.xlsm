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450" tabRatio="718" activeTab="2"/>
  </bookViews>
  <sheets>
    <sheet name="Dis_Cuadrado" sheetId="130" r:id="rId1"/>
    <sheet name="Despiece" sheetId="131" r:id="rId2"/>
    <sheet name="Dis_Cuadrado (try)" sheetId="132" r:id="rId3"/>
    <sheet name="Hoja1" sheetId="11" state="hidden" r:id="rId4"/>
    <sheet name="Hoja2" sheetId="133" r:id="rId5"/>
  </sheets>
  <functionGroups builtInGroupCount="17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(try)'!$A$2:$H$387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8" i="132" l="1"/>
  <c r="C258" i="132"/>
  <c r="C350" i="132" l="1"/>
  <c r="D344" i="132"/>
  <c r="C344" i="132"/>
  <c r="C349" i="132"/>
  <c r="C347" i="132"/>
  <c r="C340" i="132"/>
  <c r="C274" i="132"/>
  <c r="C269" i="132"/>
  <c r="C264" i="132"/>
  <c r="C259" i="132"/>
  <c r="C260" i="132" s="1"/>
  <c r="C300" i="132"/>
  <c r="C298" i="132"/>
  <c r="C289" i="132"/>
  <c r="C291" i="132"/>
  <c r="C292" i="132" s="1"/>
  <c r="C316" i="132" l="1"/>
  <c r="C322" i="132" s="1"/>
  <c r="C307" i="132"/>
  <c r="C328" i="132" s="1"/>
  <c r="C294" i="132"/>
  <c r="C286" i="132"/>
  <c r="C232" i="132"/>
  <c r="C238" i="132"/>
  <c r="C237" i="132"/>
  <c r="C218" i="132"/>
  <c r="C217" i="132"/>
  <c r="C214" i="132"/>
  <c r="C233" i="132"/>
  <c r="C231" i="132" s="1"/>
  <c r="C230" i="132"/>
  <c r="C226" i="132"/>
  <c r="C225" i="132"/>
  <c r="C46" i="132"/>
  <c r="F169" i="132"/>
  <c r="E169" i="132"/>
  <c r="D169" i="132"/>
  <c r="C169" i="132"/>
  <c r="F168" i="132"/>
  <c r="E168" i="132"/>
  <c r="D168" i="132"/>
  <c r="C168" i="132"/>
  <c r="C151" i="132"/>
  <c r="C150" i="132"/>
  <c r="F147" i="132"/>
  <c r="E147" i="132"/>
  <c r="D147" i="132"/>
  <c r="C147" i="132"/>
  <c r="F146" i="132"/>
  <c r="E146" i="132"/>
  <c r="D146" i="132"/>
  <c r="C146" i="132"/>
  <c r="C129" i="132"/>
  <c r="C128" i="132"/>
  <c r="F125" i="132"/>
  <c r="E125" i="132"/>
  <c r="D125" i="132"/>
  <c r="C125" i="132"/>
  <c r="F124" i="132"/>
  <c r="E124" i="132"/>
  <c r="D124" i="132"/>
  <c r="C124" i="132"/>
  <c r="C220" i="132" l="1"/>
  <c r="C227" i="132" s="1"/>
  <c r="C224" i="132" s="1"/>
  <c r="F196" i="132"/>
  <c r="E196" i="132"/>
  <c r="D196" i="132"/>
  <c r="C196" i="132"/>
  <c r="F195" i="132"/>
  <c r="E195" i="132"/>
  <c r="D195" i="132"/>
  <c r="C195" i="132"/>
  <c r="F103" i="132"/>
  <c r="E103" i="132"/>
  <c r="D103" i="132"/>
  <c r="C103" i="132"/>
  <c r="F102" i="132"/>
  <c r="E102" i="132"/>
  <c r="D102" i="132"/>
  <c r="C102" i="132"/>
  <c r="C222" i="132" l="1"/>
  <c r="C69" i="132"/>
  <c r="C173" i="132" s="1"/>
  <c r="C87" i="132"/>
  <c r="C68" i="132"/>
  <c r="C172" i="132" s="1"/>
  <c r="C60" i="132"/>
  <c r="C64" i="132"/>
  <c r="D64" i="132" s="1"/>
  <c r="D65" i="132" s="1"/>
  <c r="C65" i="132" l="1"/>
  <c r="E64" i="132"/>
  <c r="E65" i="132" s="1"/>
  <c r="C10" i="130"/>
  <c r="C12" i="130"/>
  <c r="F64" i="132" l="1"/>
  <c r="F65" i="132" s="1"/>
  <c r="H89" i="132"/>
  <c r="F88" i="132" l="1"/>
  <c r="E88" i="132"/>
  <c r="D88" i="132"/>
  <c r="C88" i="132"/>
  <c r="F87" i="132"/>
  <c r="E87" i="132"/>
  <c r="D87" i="132"/>
  <c r="F60" i="132"/>
  <c r="E60" i="132"/>
  <c r="D60" i="132"/>
  <c r="J56" i="132" l="1"/>
  <c r="J55" i="132"/>
  <c r="O400" i="132"/>
  <c r="J400" i="132"/>
  <c r="O393" i="132"/>
  <c r="J393" i="132"/>
  <c r="O366" i="132"/>
  <c r="O362" i="132"/>
  <c r="O363" i="132" s="1"/>
  <c r="B362" i="132"/>
  <c r="C360" i="132"/>
  <c r="D359" i="132"/>
  <c r="D360" i="132" s="1"/>
  <c r="D358" i="132"/>
  <c r="E358" i="132" s="1"/>
  <c r="F358" i="132" s="1"/>
  <c r="I357" i="132"/>
  <c r="G355" i="132"/>
  <c r="B354" i="132"/>
  <c r="D353" i="132"/>
  <c r="E353" i="132" s="1"/>
  <c r="F353" i="132" s="1"/>
  <c r="R352" i="132"/>
  <c r="R353" i="132" s="1"/>
  <c r="G343" i="132"/>
  <c r="G342" i="132"/>
  <c r="G341" i="132"/>
  <c r="G340" i="132"/>
  <c r="Q338" i="132"/>
  <c r="Q337" i="132"/>
  <c r="G337" i="132"/>
  <c r="Q336" i="132"/>
  <c r="U336" i="132" s="1"/>
  <c r="G336" i="132"/>
  <c r="G335" i="132"/>
  <c r="G334" i="132"/>
  <c r="P325" i="132"/>
  <c r="P324" i="132"/>
  <c r="R324" i="132" s="1"/>
  <c r="R325" i="132" s="1"/>
  <c r="R323" i="132"/>
  <c r="P323" i="132"/>
  <c r="F284" i="132"/>
  <c r="E284" i="132"/>
  <c r="D284" i="132"/>
  <c r="C284" i="132"/>
  <c r="F283" i="132"/>
  <c r="E283" i="132"/>
  <c r="D283" i="132"/>
  <c r="C283" i="132"/>
  <c r="C285" i="132" s="1"/>
  <c r="C281" i="132"/>
  <c r="F280" i="132"/>
  <c r="E280" i="132"/>
  <c r="D280" i="132"/>
  <c r="C280" i="132"/>
  <c r="C279" i="132"/>
  <c r="C278" i="132"/>
  <c r="G251" i="132"/>
  <c r="C250" i="132"/>
  <c r="B251" i="132" s="1"/>
  <c r="J244" i="132"/>
  <c r="B242" i="132"/>
  <c r="D241" i="132"/>
  <c r="E241" i="132" s="1"/>
  <c r="F241" i="132" s="1"/>
  <c r="F233" i="132"/>
  <c r="E233" i="132"/>
  <c r="D233" i="132"/>
  <c r="F226" i="132"/>
  <c r="E226" i="132"/>
  <c r="D226" i="132"/>
  <c r="F225" i="132"/>
  <c r="E225" i="132"/>
  <c r="D225" i="132"/>
  <c r="S210" i="132"/>
  <c r="P210" i="132"/>
  <c r="O210" i="132"/>
  <c r="N210" i="132"/>
  <c r="M210" i="132"/>
  <c r="C208" i="132"/>
  <c r="F187" i="132"/>
  <c r="E187" i="132"/>
  <c r="D187" i="132"/>
  <c r="C187" i="132"/>
  <c r="L186" i="132" s="1"/>
  <c r="C181" i="132"/>
  <c r="F165" i="132"/>
  <c r="E165" i="132"/>
  <c r="D165" i="132"/>
  <c r="C165" i="132"/>
  <c r="L164" i="132" s="1"/>
  <c r="C159" i="132"/>
  <c r="F145" i="132"/>
  <c r="E145" i="132"/>
  <c r="D145" i="132"/>
  <c r="C145" i="132"/>
  <c r="F143" i="132"/>
  <c r="E143" i="132"/>
  <c r="D143" i="132"/>
  <c r="C143" i="132"/>
  <c r="L142" i="132" s="1"/>
  <c r="C137" i="132"/>
  <c r="F121" i="132"/>
  <c r="E121" i="132"/>
  <c r="D121" i="132"/>
  <c r="C121" i="132"/>
  <c r="L120" i="132" s="1"/>
  <c r="C115" i="132"/>
  <c r="C51" i="132"/>
  <c r="C50" i="132"/>
  <c r="C47" i="132"/>
  <c r="C73" i="132" s="1"/>
  <c r="L41" i="132"/>
  <c r="D44" i="132"/>
  <c r="E44" i="132" s="1"/>
  <c r="F44" i="132" s="1"/>
  <c r="D43" i="132"/>
  <c r="D42" i="132"/>
  <c r="C41" i="132"/>
  <c r="L40" i="132"/>
  <c r="D40" i="132"/>
  <c r="D39" i="132"/>
  <c r="L37" i="132"/>
  <c r="L35" i="132"/>
  <c r="L34" i="132"/>
  <c r="E33" i="132"/>
  <c r="D33" i="132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F31" i="132"/>
  <c r="H30" i="132"/>
  <c r="F30" i="132"/>
  <c r="C14" i="132"/>
  <c r="C12" i="132"/>
  <c r="C11" i="132"/>
  <c r="C10" i="132"/>
  <c r="C8" i="132"/>
  <c r="AD5" i="132"/>
  <c r="AC5" i="132"/>
  <c r="AB5" i="132"/>
  <c r="AA5" i="132"/>
  <c r="Z5" i="132"/>
  <c r="K58" i="130"/>
  <c r="C54" i="132"/>
  <c r="J72" i="132" l="1"/>
  <c r="D128" i="132"/>
  <c r="D150" i="132"/>
  <c r="D129" i="132"/>
  <c r="D151" i="132"/>
  <c r="D69" i="132"/>
  <c r="D173" i="132" s="1"/>
  <c r="C74" i="132"/>
  <c r="C76" i="132"/>
  <c r="C75" i="132"/>
  <c r="D279" i="132"/>
  <c r="D68" i="132"/>
  <c r="D172" i="132" s="1"/>
  <c r="D41" i="132"/>
  <c r="C55" i="132"/>
  <c r="C90" i="132"/>
  <c r="C66" i="132" s="1"/>
  <c r="C56" i="132"/>
  <c r="AA337" i="132"/>
  <c r="C107" i="132"/>
  <c r="L42" i="132"/>
  <c r="D250" i="132"/>
  <c r="E250" i="132" s="1"/>
  <c r="F250" i="132" s="1"/>
  <c r="E40" i="132"/>
  <c r="AL336" i="132"/>
  <c r="D45" i="132"/>
  <c r="D252" i="132" s="1"/>
  <c r="C282" i="132"/>
  <c r="C273" i="132" s="1"/>
  <c r="AL337" i="132"/>
  <c r="E359" i="132"/>
  <c r="F359" i="132" s="1"/>
  <c r="F360" i="132" s="1"/>
  <c r="AL338" i="132"/>
  <c r="AA338" i="132"/>
  <c r="C364" i="132"/>
  <c r="D281" i="132"/>
  <c r="D361" i="132" s="1"/>
  <c r="E39" i="132"/>
  <c r="D278" i="132"/>
  <c r="D47" i="132"/>
  <c r="D73" i="132" s="1"/>
  <c r="D51" i="132"/>
  <c r="E43" i="132"/>
  <c r="F259" i="132"/>
  <c r="E259" i="132"/>
  <c r="D259" i="132"/>
  <c r="G31" i="132"/>
  <c r="E274" i="132"/>
  <c r="F274" i="132"/>
  <c r="D274" i="132"/>
  <c r="D208" i="132"/>
  <c r="D181" i="132"/>
  <c r="D49" i="132"/>
  <c r="D57" i="132" s="1"/>
  <c r="D137" i="132"/>
  <c r="E42" i="132"/>
  <c r="D159" i="132"/>
  <c r="D115" i="132"/>
  <c r="G32" i="132"/>
  <c r="F269" i="132"/>
  <c r="E269" i="132"/>
  <c r="D269" i="132"/>
  <c r="D106" i="132"/>
  <c r="C106" i="132"/>
  <c r="G30" i="132"/>
  <c r="C199" i="132" s="1"/>
  <c r="E264" i="132"/>
  <c r="F264" i="132"/>
  <c r="D264" i="132"/>
  <c r="F32" i="132"/>
  <c r="D50" i="132"/>
  <c r="D56" i="132" s="1"/>
  <c r="C252" i="132"/>
  <c r="J354" i="132"/>
  <c r="I358" i="132" s="1"/>
  <c r="D107" i="132"/>
  <c r="C362" i="132"/>
  <c r="G33" i="132"/>
  <c r="L43" i="132"/>
  <c r="C49" i="132"/>
  <c r="C57" i="132" s="1"/>
  <c r="Q210" i="132"/>
  <c r="C243" i="132"/>
  <c r="D285" i="132"/>
  <c r="U338" i="132"/>
  <c r="C393" i="132"/>
  <c r="C394" i="132" s="1"/>
  <c r="E285" i="132"/>
  <c r="R326" i="132"/>
  <c r="U337" i="132"/>
  <c r="C348" i="132"/>
  <c r="C409" i="132"/>
  <c r="F285" i="132"/>
  <c r="C361" i="132"/>
  <c r="AA336" i="132"/>
  <c r="C363" i="132"/>
  <c r="D54" i="132"/>
  <c r="C205" i="132" l="1"/>
  <c r="C156" i="132"/>
  <c r="I72" i="132"/>
  <c r="D46" i="132"/>
  <c r="D243" i="132"/>
  <c r="E151" i="132"/>
  <c r="E150" i="132"/>
  <c r="E129" i="132"/>
  <c r="E128" i="132"/>
  <c r="C365" i="132"/>
  <c r="E69" i="132"/>
  <c r="E173" i="132" s="1"/>
  <c r="C58" i="132"/>
  <c r="C70" i="132" s="1"/>
  <c r="D282" i="132"/>
  <c r="D265" i="132" s="1"/>
  <c r="D74" i="132"/>
  <c r="C77" i="132"/>
  <c r="C104" i="132" s="1"/>
  <c r="E279" i="132"/>
  <c r="D90" i="132"/>
  <c r="D75" i="132"/>
  <c r="D76" i="132"/>
  <c r="C268" i="132"/>
  <c r="C342" i="132" s="1"/>
  <c r="C86" i="132"/>
  <c r="C89" i="132" s="1"/>
  <c r="C92" i="132" s="1"/>
  <c r="D66" i="132"/>
  <c r="E66" i="132" s="1"/>
  <c r="F66" i="132" s="1"/>
  <c r="C67" i="132"/>
  <c r="D67" i="132" s="1"/>
  <c r="E67" i="132" s="1"/>
  <c r="F67" i="132" s="1"/>
  <c r="E68" i="132"/>
  <c r="E172" i="132" s="1"/>
  <c r="E360" i="132"/>
  <c r="C263" i="132"/>
  <c r="C341" i="132" s="1"/>
  <c r="D55" i="132"/>
  <c r="D58" i="132" s="1"/>
  <c r="D362" i="132"/>
  <c r="E45" i="132"/>
  <c r="F45" i="132" s="1"/>
  <c r="F40" i="132"/>
  <c r="E106" i="132"/>
  <c r="E107" i="132"/>
  <c r="D363" i="132"/>
  <c r="D364" i="132"/>
  <c r="D337" i="132"/>
  <c r="C303" i="132"/>
  <c r="C343" i="132"/>
  <c r="F337" i="132"/>
  <c r="E337" i="132"/>
  <c r="E281" i="132"/>
  <c r="F39" i="132"/>
  <c r="C319" i="132"/>
  <c r="C325" i="132" s="1"/>
  <c r="C275" i="132"/>
  <c r="C331" i="132" s="1"/>
  <c r="C337" i="132"/>
  <c r="J357" i="132"/>
  <c r="C335" i="132"/>
  <c r="C317" i="132"/>
  <c r="C265" i="132"/>
  <c r="C329" i="132" s="1"/>
  <c r="D336" i="132"/>
  <c r="D335" i="132"/>
  <c r="E336" i="132"/>
  <c r="E278" i="132"/>
  <c r="E47" i="132"/>
  <c r="E73" i="132" s="1"/>
  <c r="E50" i="132"/>
  <c r="E56" i="132" s="1"/>
  <c r="E41" i="132"/>
  <c r="E51" i="132"/>
  <c r="F43" i="132"/>
  <c r="D350" i="132"/>
  <c r="D409" i="132" s="1"/>
  <c r="D348" i="132"/>
  <c r="D393" i="132"/>
  <c r="D394" i="132" s="1"/>
  <c r="D289" i="132"/>
  <c r="D291" i="132" s="1"/>
  <c r="D292" i="132" s="1"/>
  <c r="D286" i="132"/>
  <c r="D294" i="132" s="1"/>
  <c r="C112" i="132"/>
  <c r="C334" i="132"/>
  <c r="C398" i="132"/>
  <c r="C399" i="132" s="1"/>
  <c r="C397" i="132"/>
  <c r="F335" i="132"/>
  <c r="F336" i="132"/>
  <c r="D334" i="132"/>
  <c r="D220" i="132"/>
  <c r="D227" i="132" s="1"/>
  <c r="D224" i="132" s="1"/>
  <c r="R338" i="132"/>
  <c r="R336" i="132"/>
  <c r="R337" i="132"/>
  <c r="E335" i="132"/>
  <c r="C336" i="132"/>
  <c r="C318" i="132"/>
  <c r="C324" i="132" s="1"/>
  <c r="C270" i="132"/>
  <c r="C246" i="132"/>
  <c r="C247" i="132" s="1"/>
  <c r="C249" i="132" s="1"/>
  <c r="C251" i="132" s="1"/>
  <c r="D231" i="132"/>
  <c r="E334" i="132"/>
  <c r="E208" i="132"/>
  <c r="E181" i="132"/>
  <c r="E137" i="132"/>
  <c r="E159" i="132"/>
  <c r="E115" i="132"/>
  <c r="F42" i="132"/>
  <c r="F334" i="132"/>
  <c r="I339" i="130"/>
  <c r="E54" i="132"/>
  <c r="F54" i="132"/>
  <c r="D222" i="132" l="1"/>
  <c r="D275" i="132"/>
  <c r="D273" i="132"/>
  <c r="D298" i="132"/>
  <c r="D260" i="132"/>
  <c r="D258" i="132"/>
  <c r="D340" i="132" s="1"/>
  <c r="R395" i="132" s="1"/>
  <c r="D270" i="132"/>
  <c r="E171" i="132"/>
  <c r="C148" i="132"/>
  <c r="E126" i="132"/>
  <c r="D104" i="132"/>
  <c r="I73" i="132" s="1"/>
  <c r="E148" i="132"/>
  <c r="C127" i="132"/>
  <c r="D171" i="132"/>
  <c r="F149" i="132"/>
  <c r="D126" i="132"/>
  <c r="C171" i="132"/>
  <c r="C198" i="132" s="1"/>
  <c r="F105" i="132"/>
  <c r="E105" i="132"/>
  <c r="D170" i="132"/>
  <c r="F148" i="132"/>
  <c r="E149" i="132"/>
  <c r="C126" i="132"/>
  <c r="D105" i="132"/>
  <c r="D127" i="132"/>
  <c r="C105" i="132"/>
  <c r="C170" i="132"/>
  <c r="C197" i="132" s="1"/>
  <c r="F104" i="132"/>
  <c r="F171" i="132"/>
  <c r="D148" i="132"/>
  <c r="F126" i="132"/>
  <c r="E104" i="132"/>
  <c r="F170" i="132"/>
  <c r="D149" i="132"/>
  <c r="F127" i="132"/>
  <c r="E170" i="132"/>
  <c r="C149" i="132"/>
  <c r="E127" i="132"/>
  <c r="C72" i="132"/>
  <c r="C302" i="132"/>
  <c r="C311" i="132" s="1"/>
  <c r="C330" i="132" s="1"/>
  <c r="L398" i="132" s="1"/>
  <c r="F151" i="132"/>
  <c r="F150" i="132"/>
  <c r="F129" i="132"/>
  <c r="F128" i="132"/>
  <c r="D72" i="132"/>
  <c r="D178" i="132" s="1"/>
  <c r="D70" i="132"/>
  <c r="D77" i="132"/>
  <c r="D78" i="132" s="1"/>
  <c r="C78" i="132"/>
  <c r="G79" i="132" s="1"/>
  <c r="E282" i="132"/>
  <c r="E270" i="132" s="1"/>
  <c r="D263" i="132"/>
  <c r="D301" i="132" s="1"/>
  <c r="D268" i="132"/>
  <c r="D342" i="132" s="1"/>
  <c r="R398" i="132" s="1"/>
  <c r="E74" i="132"/>
  <c r="C323" i="132"/>
  <c r="E90" i="132"/>
  <c r="E75" i="132"/>
  <c r="E76" i="132"/>
  <c r="C301" i="132"/>
  <c r="E243" i="132"/>
  <c r="E252" i="132"/>
  <c r="E46" i="132"/>
  <c r="E220" i="132" s="1"/>
  <c r="E227" i="132" s="1"/>
  <c r="E224" i="132" s="1"/>
  <c r="F46" i="132"/>
  <c r="F220" i="132" s="1"/>
  <c r="F227" i="132" s="1"/>
  <c r="F224" i="132" s="1"/>
  <c r="C61" i="132"/>
  <c r="C71" i="132"/>
  <c r="C83" i="132" s="1"/>
  <c r="C95" i="132"/>
  <c r="C98" i="132" s="1"/>
  <c r="C93" i="132"/>
  <c r="C94" i="132"/>
  <c r="F279" i="132"/>
  <c r="F68" i="132"/>
  <c r="F172" i="132" s="1"/>
  <c r="F69" i="132"/>
  <c r="F173" i="132" s="1"/>
  <c r="D156" i="132"/>
  <c r="D86" i="132"/>
  <c r="D89" i="132" s="1"/>
  <c r="D92" i="132" s="1"/>
  <c r="F55" i="132"/>
  <c r="E55" i="132"/>
  <c r="D112" i="132"/>
  <c r="D246" i="132"/>
  <c r="D247" i="132" s="1"/>
  <c r="D249" i="132" s="1"/>
  <c r="D251" i="132" s="1"/>
  <c r="J54" i="132"/>
  <c r="L396" i="132"/>
  <c r="D61" i="132"/>
  <c r="D62" i="132" s="1"/>
  <c r="C309" i="132"/>
  <c r="C366" i="132"/>
  <c r="D134" i="132"/>
  <c r="C313" i="132"/>
  <c r="L397" i="132" s="1"/>
  <c r="D365" i="132"/>
  <c r="D366" i="132" s="1"/>
  <c r="AI337" i="132"/>
  <c r="S337" i="132"/>
  <c r="AG337" i="132"/>
  <c r="Y337" i="132"/>
  <c r="X337" i="132"/>
  <c r="AM337" i="132"/>
  <c r="V337" i="132"/>
  <c r="AJ337" i="132"/>
  <c r="T337" i="132"/>
  <c r="W337" i="132" s="1"/>
  <c r="AH337" i="132"/>
  <c r="F243" i="132"/>
  <c r="F252" i="132"/>
  <c r="F208" i="132"/>
  <c r="F137" i="132"/>
  <c r="F159" i="132"/>
  <c r="F115" i="132"/>
  <c r="F181" i="132"/>
  <c r="C345" i="132"/>
  <c r="M396" i="132"/>
  <c r="M395" i="132"/>
  <c r="AM336" i="132"/>
  <c r="AJ336" i="132"/>
  <c r="T336" i="132"/>
  <c r="W336" i="132" s="1"/>
  <c r="AI336" i="132"/>
  <c r="S336" i="132"/>
  <c r="AH336" i="132"/>
  <c r="AG336" i="132"/>
  <c r="Y336" i="132"/>
  <c r="X336" i="132"/>
  <c r="V336" i="132"/>
  <c r="D316" i="132"/>
  <c r="F47" i="132"/>
  <c r="F73" i="132" s="1"/>
  <c r="F50" i="132"/>
  <c r="F56" i="132" s="1"/>
  <c r="F51" i="132"/>
  <c r="F278" i="132"/>
  <c r="F41" i="132"/>
  <c r="F362" i="132" s="1"/>
  <c r="F106" i="132"/>
  <c r="F107" i="132"/>
  <c r="D318" i="132"/>
  <c r="E286" i="132"/>
  <c r="E294" i="132" s="1"/>
  <c r="E361" i="132"/>
  <c r="E350" i="132"/>
  <c r="E409" i="132" s="1"/>
  <c r="E348" i="132"/>
  <c r="E393" i="132"/>
  <c r="E394" i="132" s="1"/>
  <c r="E289" i="132"/>
  <c r="E363" i="132"/>
  <c r="AJ338" i="132"/>
  <c r="T338" i="132"/>
  <c r="W338" i="132" s="1"/>
  <c r="AH338" i="132"/>
  <c r="AG338" i="132"/>
  <c r="Y338" i="132"/>
  <c r="X338" i="132"/>
  <c r="AM338" i="132"/>
  <c r="V338" i="132"/>
  <c r="S338" i="132"/>
  <c r="AI338" i="132"/>
  <c r="D319" i="132"/>
  <c r="D325" i="132" s="1"/>
  <c r="D343" i="132"/>
  <c r="D303" i="132"/>
  <c r="D313" i="132" s="1"/>
  <c r="D317" i="132"/>
  <c r="C401" i="132"/>
  <c r="C400" i="132"/>
  <c r="J366" i="132"/>
  <c r="L52" i="132" s="1"/>
  <c r="D398" i="132"/>
  <c r="D399" i="132" s="1"/>
  <c r="D397" i="132"/>
  <c r="E362" i="132"/>
  <c r="E49" i="132"/>
  <c r="F281" i="132"/>
  <c r="M398" i="132"/>
  <c r="E364" i="132"/>
  <c r="M397" i="132"/>
  <c r="C134" i="132"/>
  <c r="C41" i="130"/>
  <c r="F22" i="130"/>
  <c r="G22" i="130"/>
  <c r="H25" i="130"/>
  <c r="H22" i="130"/>
  <c r="H24" i="130"/>
  <c r="C202" i="132" l="1"/>
  <c r="C80" i="132"/>
  <c r="C201" i="132"/>
  <c r="E231" i="132"/>
  <c r="D300" i="132"/>
  <c r="D307" i="132" s="1"/>
  <c r="F222" i="132"/>
  <c r="F231" i="132"/>
  <c r="L230" i="132" s="1"/>
  <c r="K51" i="132" s="1"/>
  <c r="D324" i="132"/>
  <c r="D322" i="132"/>
  <c r="E317" i="132"/>
  <c r="E263" i="132"/>
  <c r="C79" i="132"/>
  <c r="E268" i="132"/>
  <c r="E342" i="132" s="1"/>
  <c r="D323" i="132"/>
  <c r="E265" i="132"/>
  <c r="E309" i="132" s="1"/>
  <c r="E258" i="132"/>
  <c r="E340" i="132" s="1"/>
  <c r="E275" i="132"/>
  <c r="E273" i="132"/>
  <c r="E343" i="132" s="1"/>
  <c r="D329" i="132"/>
  <c r="Q396" i="132" s="1"/>
  <c r="E291" i="132"/>
  <c r="E292" i="132" s="1"/>
  <c r="D302" i="132"/>
  <c r="D311" i="132" s="1"/>
  <c r="D80" i="132"/>
  <c r="E77" i="132"/>
  <c r="E78" i="132" s="1"/>
  <c r="D309" i="132"/>
  <c r="E260" i="132"/>
  <c r="D341" i="132"/>
  <c r="D345" i="132" s="1"/>
  <c r="F74" i="132"/>
  <c r="D79" i="132"/>
  <c r="F90" i="132"/>
  <c r="F75" i="132"/>
  <c r="F76" i="132"/>
  <c r="F282" i="132"/>
  <c r="F273" i="132" s="1"/>
  <c r="L395" i="132"/>
  <c r="D71" i="132"/>
  <c r="D95" i="132"/>
  <c r="D98" i="132" s="1"/>
  <c r="D93" i="132"/>
  <c r="D94" i="132"/>
  <c r="K56" i="132"/>
  <c r="K55" i="132"/>
  <c r="E57" i="132"/>
  <c r="C346" i="132"/>
  <c r="F49" i="132"/>
  <c r="D331" i="132"/>
  <c r="Q397" i="132" s="1"/>
  <c r="E222" i="132"/>
  <c r="L223" i="132"/>
  <c r="K50" i="132" s="1"/>
  <c r="AK337" i="132"/>
  <c r="Z337" i="132"/>
  <c r="AB337" i="132" s="1"/>
  <c r="AK338" i="132"/>
  <c r="Z338" i="132"/>
  <c r="AB338" i="132" s="1"/>
  <c r="D401" i="132"/>
  <c r="D400" i="132"/>
  <c r="AK336" i="132"/>
  <c r="E398" i="132"/>
  <c r="E399" i="132" s="1"/>
  <c r="E397" i="132"/>
  <c r="E319" i="132"/>
  <c r="Z336" i="132"/>
  <c r="AB336" i="132" s="1"/>
  <c r="F350" i="132"/>
  <c r="F409" i="132" s="1"/>
  <c r="F348" i="132"/>
  <c r="F393" i="132"/>
  <c r="F394" i="132" s="1"/>
  <c r="F289" i="132"/>
  <c r="F286" i="132"/>
  <c r="F294" i="132" s="1"/>
  <c r="F361" i="132"/>
  <c r="F364" i="132"/>
  <c r="F363" i="132"/>
  <c r="E341" i="132"/>
  <c r="E323" i="132"/>
  <c r="E301" i="132"/>
  <c r="E298" i="132"/>
  <c r="E316" i="132"/>
  <c r="E318" i="132"/>
  <c r="R397" i="132"/>
  <c r="D347" i="132"/>
  <c r="E365" i="132"/>
  <c r="G24" i="130"/>
  <c r="G25" i="130"/>
  <c r="F24" i="130"/>
  <c r="F25" i="130"/>
  <c r="H23" i="130"/>
  <c r="C60" i="130" s="1"/>
  <c r="D328" i="132" l="1"/>
  <c r="Q395" i="132" s="1"/>
  <c r="E324" i="132"/>
  <c r="D330" i="132"/>
  <c r="Q398" i="132" s="1"/>
  <c r="E300" i="132"/>
  <c r="E307" i="132" s="1"/>
  <c r="E329" i="132"/>
  <c r="L403" i="132" s="1"/>
  <c r="F265" i="132"/>
  <c r="F268" i="132"/>
  <c r="F260" i="132"/>
  <c r="F298" i="132"/>
  <c r="E322" i="132"/>
  <c r="F270" i="132"/>
  <c r="F263" i="132"/>
  <c r="C108" i="132"/>
  <c r="D108" i="132"/>
  <c r="F108" i="132"/>
  <c r="F109" i="132" s="1"/>
  <c r="E108" i="132"/>
  <c r="E109" i="132" s="1"/>
  <c r="C174" i="132"/>
  <c r="C81" i="132"/>
  <c r="E325" i="132"/>
  <c r="D81" i="132"/>
  <c r="D174" i="132"/>
  <c r="C130" i="132"/>
  <c r="D130" i="132"/>
  <c r="F130" i="132"/>
  <c r="F131" i="132" s="1"/>
  <c r="E130" i="132"/>
  <c r="E131" i="132" s="1"/>
  <c r="R396" i="132"/>
  <c r="C354" i="132"/>
  <c r="N354" i="132" s="1"/>
  <c r="F77" i="132"/>
  <c r="F78" i="132" s="1"/>
  <c r="F258" i="132"/>
  <c r="F340" i="132" s="1"/>
  <c r="F275" i="132"/>
  <c r="F291" i="132"/>
  <c r="F292" i="132" s="1"/>
  <c r="D83" i="132"/>
  <c r="D84" i="132" s="1"/>
  <c r="E86" i="132"/>
  <c r="E89" i="132" s="1"/>
  <c r="E92" i="132" s="1"/>
  <c r="E112" i="132"/>
  <c r="E134" i="132"/>
  <c r="E156" i="132"/>
  <c r="F57" i="132"/>
  <c r="E58" i="132"/>
  <c r="E72" i="132" s="1"/>
  <c r="E178" i="132" s="1"/>
  <c r="E246" i="132"/>
  <c r="E247" i="132" s="1"/>
  <c r="E249" i="132" s="1"/>
  <c r="E251" i="132" s="1"/>
  <c r="D346" i="132"/>
  <c r="F365" i="132"/>
  <c r="F366" i="132" s="1"/>
  <c r="F318" i="132"/>
  <c r="F316" i="132"/>
  <c r="F317" i="132"/>
  <c r="F319" i="132"/>
  <c r="F325" i="132" s="1"/>
  <c r="AF338" i="132"/>
  <c r="AE338" i="132"/>
  <c r="AD338" i="132"/>
  <c r="AC338" i="132"/>
  <c r="AE336" i="132"/>
  <c r="AC336" i="132"/>
  <c r="AF336" i="132"/>
  <c r="AD336" i="132"/>
  <c r="M402" i="132"/>
  <c r="E303" i="132"/>
  <c r="E313" i="132" s="1"/>
  <c r="E331" i="132" s="1"/>
  <c r="L404" i="132" s="1"/>
  <c r="C62" i="132"/>
  <c r="F343" i="132"/>
  <c r="F303" i="132"/>
  <c r="AF337" i="132"/>
  <c r="AE337" i="132"/>
  <c r="AD337" i="132"/>
  <c r="AC337" i="132"/>
  <c r="E302" i="132"/>
  <c r="E311" i="132" s="1"/>
  <c r="M404" i="132"/>
  <c r="F300" i="132"/>
  <c r="E366" i="132"/>
  <c r="M403" i="132"/>
  <c r="E345" i="132"/>
  <c r="F398" i="132"/>
  <c r="F399" i="132" s="1"/>
  <c r="F397" i="132"/>
  <c r="F342" i="132"/>
  <c r="F302" i="132"/>
  <c r="M405" i="132"/>
  <c r="E400" i="132"/>
  <c r="E401" i="132"/>
  <c r="F341" i="132"/>
  <c r="F323" i="132"/>
  <c r="F309" i="132"/>
  <c r="F301" i="132"/>
  <c r="G23" i="130"/>
  <c r="F23" i="130"/>
  <c r="G337" i="130"/>
  <c r="D349" i="132" l="1"/>
  <c r="D352" i="132" s="1"/>
  <c r="D395" i="132" s="1"/>
  <c r="F329" i="132"/>
  <c r="Q403" i="132" s="1"/>
  <c r="F307" i="132"/>
  <c r="E328" i="132"/>
  <c r="L402" i="132" s="1"/>
  <c r="E330" i="132"/>
  <c r="L405" i="132" s="1"/>
  <c r="F324" i="132"/>
  <c r="F311" i="132"/>
  <c r="F330" i="132" s="1"/>
  <c r="Q405" i="132" s="1"/>
  <c r="F313" i="132"/>
  <c r="C175" i="132"/>
  <c r="C179" i="132" s="1"/>
  <c r="C180" i="132"/>
  <c r="C177" i="132" s="1"/>
  <c r="D109" i="132"/>
  <c r="D113" i="132" s="1"/>
  <c r="D114" i="132"/>
  <c r="D111" i="132" s="1"/>
  <c r="C109" i="132"/>
  <c r="C113" i="132" s="1"/>
  <c r="C114" i="132"/>
  <c r="C111" i="132" s="1"/>
  <c r="D131" i="132"/>
  <c r="D135" i="132" s="1"/>
  <c r="D136" i="132"/>
  <c r="D133" i="132" s="1"/>
  <c r="C131" i="132"/>
  <c r="C135" i="132" s="1"/>
  <c r="C136" i="132"/>
  <c r="C133" i="132" s="1"/>
  <c r="D175" i="132"/>
  <c r="D179" i="132" s="1"/>
  <c r="D180" i="132"/>
  <c r="D177" i="132" s="1"/>
  <c r="F322" i="132"/>
  <c r="F328" i="132" s="1"/>
  <c r="Q402" i="132" s="1"/>
  <c r="E80" i="132"/>
  <c r="E79" i="132"/>
  <c r="E61" i="132"/>
  <c r="E62" i="132" s="1"/>
  <c r="F86" i="132"/>
  <c r="F89" i="132" s="1"/>
  <c r="F92" i="132" s="1"/>
  <c r="E70" i="132"/>
  <c r="E114" i="132"/>
  <c r="E111" i="132" s="1"/>
  <c r="E135" i="132"/>
  <c r="E132" i="132" s="1"/>
  <c r="F156" i="132"/>
  <c r="E113" i="132"/>
  <c r="E110" i="132" s="1"/>
  <c r="F134" i="132"/>
  <c r="F135" i="132" s="1"/>
  <c r="E71" i="132"/>
  <c r="E136" i="132"/>
  <c r="E133" i="132" s="1"/>
  <c r="E95" i="132"/>
  <c r="E98" i="132" s="1"/>
  <c r="E94" i="132"/>
  <c r="E93" i="132"/>
  <c r="L366" i="132"/>
  <c r="K52" i="132" s="1"/>
  <c r="I52" i="132" s="1"/>
  <c r="C352" i="132"/>
  <c r="C395" i="132" s="1"/>
  <c r="F58" i="132"/>
  <c r="F72" i="132" s="1"/>
  <c r="F178" i="132" s="1"/>
  <c r="F112" i="132"/>
  <c r="F246" i="132"/>
  <c r="F247" i="132" s="1"/>
  <c r="F249" i="132" s="1"/>
  <c r="F251" i="132" s="1"/>
  <c r="F331" i="132"/>
  <c r="Q404" i="132" s="1"/>
  <c r="R402" i="132"/>
  <c r="R405" i="132"/>
  <c r="F400" i="132"/>
  <c r="F401" i="132"/>
  <c r="R403" i="132"/>
  <c r="F345" i="132"/>
  <c r="C84" i="132"/>
  <c r="R404" i="132"/>
  <c r="E347" i="132"/>
  <c r="L35" i="130"/>
  <c r="E346" i="132" l="1"/>
  <c r="E344" i="132"/>
  <c r="D183" i="132"/>
  <c r="D188" i="132" s="1"/>
  <c r="D110" i="132"/>
  <c r="D119" i="132"/>
  <c r="D118" i="132"/>
  <c r="D117" i="132"/>
  <c r="D122" i="132" s="1"/>
  <c r="D120" i="132"/>
  <c r="C110" i="132"/>
  <c r="C120" i="132"/>
  <c r="C119" i="132"/>
  <c r="C117" i="132"/>
  <c r="C122" i="132" s="1"/>
  <c r="C118" i="132"/>
  <c r="C176" i="132"/>
  <c r="C186" i="132"/>
  <c r="C184" i="132"/>
  <c r="C183" i="132"/>
  <c r="C188" i="132" s="1"/>
  <c r="C185" i="132"/>
  <c r="D176" i="132"/>
  <c r="D186" i="132"/>
  <c r="D185" i="132"/>
  <c r="D184" i="132"/>
  <c r="C132" i="132"/>
  <c r="C142" i="132"/>
  <c r="C140" i="132"/>
  <c r="C139" i="132"/>
  <c r="C144" i="132" s="1"/>
  <c r="C141" i="132"/>
  <c r="F152" i="132"/>
  <c r="F153" i="132" s="1"/>
  <c r="E152" i="132"/>
  <c r="D152" i="132"/>
  <c r="C152" i="132"/>
  <c r="E174" i="132"/>
  <c r="D132" i="132"/>
  <c r="D142" i="132"/>
  <c r="D141" i="132"/>
  <c r="D140" i="132"/>
  <c r="D139" i="132"/>
  <c r="D144" i="132" s="1"/>
  <c r="E140" i="132"/>
  <c r="F79" i="132"/>
  <c r="F174" i="132" s="1"/>
  <c r="F80" i="132"/>
  <c r="E81" i="132"/>
  <c r="F71" i="132"/>
  <c r="D354" i="132"/>
  <c r="O354" i="132" s="1"/>
  <c r="F136" i="132"/>
  <c r="F133" i="132" s="1"/>
  <c r="E83" i="132"/>
  <c r="E84" i="132" s="1"/>
  <c r="D355" i="132"/>
  <c r="F158" i="132"/>
  <c r="F155" i="132" s="1"/>
  <c r="F157" i="132"/>
  <c r="E141" i="132"/>
  <c r="E118" i="132"/>
  <c r="E120" i="132"/>
  <c r="E117" i="132"/>
  <c r="E122" i="132" s="1"/>
  <c r="E119" i="132"/>
  <c r="F95" i="132"/>
  <c r="F98" i="132" s="1"/>
  <c r="F93" i="132"/>
  <c r="F94" i="132"/>
  <c r="F346" i="132"/>
  <c r="E139" i="132"/>
  <c r="E144" i="132" s="1"/>
  <c r="E142" i="132"/>
  <c r="F113" i="132"/>
  <c r="C355" i="132"/>
  <c r="F61" i="132"/>
  <c r="F62" i="132" s="1"/>
  <c r="F70" i="132"/>
  <c r="F114" i="132"/>
  <c r="F111" i="132" s="1"/>
  <c r="F344" i="132"/>
  <c r="I345" i="132"/>
  <c r="M47" i="132" s="1"/>
  <c r="I344" i="132"/>
  <c r="M46" i="132" s="1"/>
  <c r="F132" i="132"/>
  <c r="F347" i="132"/>
  <c r="D407" i="132"/>
  <c r="P398" i="132" s="1"/>
  <c r="D396" i="132"/>
  <c r="D406" i="132"/>
  <c r="P395" i="132" s="1"/>
  <c r="C407" i="132"/>
  <c r="K398" i="132" s="1"/>
  <c r="C396" i="132"/>
  <c r="C406" i="132"/>
  <c r="K395" i="132" s="1"/>
  <c r="G233" i="130"/>
  <c r="L37" i="130"/>
  <c r="E349" i="132" l="1"/>
  <c r="E352" i="132" s="1"/>
  <c r="E355" i="132" s="1"/>
  <c r="C153" i="132"/>
  <c r="C157" i="132" s="1"/>
  <c r="C158" i="132"/>
  <c r="C155" i="132" s="1"/>
  <c r="D153" i="132"/>
  <c r="D157" i="132" s="1"/>
  <c r="D158" i="132"/>
  <c r="D155" i="132" s="1"/>
  <c r="E153" i="132"/>
  <c r="E157" i="132" s="1"/>
  <c r="E158" i="132"/>
  <c r="E155" i="132" s="1"/>
  <c r="E175" i="132"/>
  <c r="E179" i="132" s="1"/>
  <c r="E180" i="132"/>
  <c r="E177" i="132" s="1"/>
  <c r="F175" i="132"/>
  <c r="F179" i="132" s="1"/>
  <c r="F176" i="132" s="1"/>
  <c r="F180" i="132"/>
  <c r="F177" i="132" s="1"/>
  <c r="F83" i="132"/>
  <c r="J83" i="132" s="1"/>
  <c r="K47" i="132" s="1"/>
  <c r="I47" i="132" s="1"/>
  <c r="F81" i="132"/>
  <c r="F161" i="132"/>
  <c r="F166" i="132" s="1"/>
  <c r="F162" i="132"/>
  <c r="F140" i="132"/>
  <c r="F139" i="132"/>
  <c r="F144" i="132" s="1"/>
  <c r="F141" i="132"/>
  <c r="F163" i="132"/>
  <c r="F142" i="132"/>
  <c r="F154" i="132"/>
  <c r="F164" i="132"/>
  <c r="J95" i="132"/>
  <c r="K48" i="132" s="1"/>
  <c r="I48" i="132" s="1"/>
  <c r="F120" i="132"/>
  <c r="F110" i="132"/>
  <c r="F349" i="132"/>
  <c r="F354" i="132" s="1"/>
  <c r="Q354" i="132" s="1"/>
  <c r="F118" i="132"/>
  <c r="F117" i="132"/>
  <c r="F122" i="132" s="1"/>
  <c r="J61" i="132"/>
  <c r="K46" i="132" s="1"/>
  <c r="I46" i="132" s="1"/>
  <c r="F119" i="132"/>
  <c r="E354" i="132"/>
  <c r="P354" i="132" s="1"/>
  <c r="C408" i="132"/>
  <c r="J397" i="132" s="1"/>
  <c r="C402" i="132"/>
  <c r="K396" i="132" s="1"/>
  <c r="C403" i="132"/>
  <c r="D408" i="132"/>
  <c r="O397" i="132" s="1"/>
  <c r="D403" i="132"/>
  <c r="D402" i="132"/>
  <c r="P396" i="132" s="1"/>
  <c r="O348" i="130"/>
  <c r="O344" i="130"/>
  <c r="O345" i="130" s="1"/>
  <c r="E395" i="132" l="1"/>
  <c r="E176" i="132"/>
  <c r="E183" i="132"/>
  <c r="E188" i="132" s="1"/>
  <c r="E185" i="132"/>
  <c r="E186" i="132"/>
  <c r="E184" i="132"/>
  <c r="C154" i="132"/>
  <c r="C162" i="132"/>
  <c r="C164" i="132"/>
  <c r="C161" i="132"/>
  <c r="C166" i="132" s="1"/>
  <c r="C163" i="132"/>
  <c r="F186" i="132"/>
  <c r="F184" i="132"/>
  <c r="E154" i="132"/>
  <c r="E163" i="132"/>
  <c r="E161" i="132"/>
  <c r="E166" i="132" s="1"/>
  <c r="E162" i="132"/>
  <c r="E164" i="132"/>
  <c r="F185" i="132"/>
  <c r="F183" i="132"/>
  <c r="F188" i="132" s="1"/>
  <c r="D154" i="132"/>
  <c r="D163" i="132"/>
  <c r="D162" i="132"/>
  <c r="D161" i="132"/>
  <c r="D166" i="132" s="1"/>
  <c r="D164" i="132"/>
  <c r="F84" i="132"/>
  <c r="J142" i="132"/>
  <c r="F352" i="132"/>
  <c r="F355" i="132" s="1"/>
  <c r="J120" i="132"/>
  <c r="O396" i="132"/>
  <c r="D404" i="132"/>
  <c r="E407" i="132"/>
  <c r="K405" i="132" s="1"/>
  <c r="E396" i="132"/>
  <c r="E406" i="132"/>
  <c r="K402" i="132" s="1"/>
  <c r="C404" i="132"/>
  <c r="J396" i="132"/>
  <c r="G54" i="131"/>
  <c r="H54" i="131"/>
  <c r="I54" i="131"/>
  <c r="F54" i="131"/>
  <c r="C232" i="130"/>
  <c r="J164" i="132" l="1"/>
  <c r="J186" i="132"/>
  <c r="J193" i="132" s="1"/>
  <c r="J194" i="132" s="1"/>
  <c r="C200" i="132" s="1"/>
  <c r="F395" i="132"/>
  <c r="F396" i="132" s="1"/>
  <c r="K49" i="132"/>
  <c r="I49" i="132" s="1"/>
  <c r="E408" i="132"/>
  <c r="J404" i="132" s="1"/>
  <c r="E403" i="132"/>
  <c r="E402" i="132"/>
  <c r="K403" i="132" s="1"/>
  <c r="F30" i="131"/>
  <c r="D197" i="132" l="1"/>
  <c r="D201" i="132" s="1"/>
  <c r="F407" i="132"/>
  <c r="P405" i="132" s="1"/>
  <c r="F406" i="132"/>
  <c r="P402" i="132" s="1"/>
  <c r="F408" i="132"/>
  <c r="O404" i="132" s="1"/>
  <c r="F402" i="132"/>
  <c r="P403" i="132" s="1"/>
  <c r="F403" i="132"/>
  <c r="E404" i="132"/>
  <c r="J403" i="132"/>
  <c r="J226" i="130"/>
  <c r="D200" i="132" l="1"/>
  <c r="D198" i="132"/>
  <c r="D202" i="132" s="1"/>
  <c r="E205" i="132"/>
  <c r="D199" i="132"/>
  <c r="C207" i="132"/>
  <c r="C204" i="132" s="1"/>
  <c r="C206" i="132"/>
  <c r="C203" i="132" s="1"/>
  <c r="D205" i="132"/>
  <c r="E197" i="132"/>
  <c r="O403" i="132"/>
  <c r="F404" i="132"/>
  <c r="F22" i="131"/>
  <c r="F24" i="131"/>
  <c r="F28" i="131" s="1"/>
  <c r="F37" i="131" s="1"/>
  <c r="F45" i="131" s="1"/>
  <c r="C210" i="132" l="1"/>
  <c r="E201" i="132"/>
  <c r="E200" i="132"/>
  <c r="E198" i="132"/>
  <c r="E202" i="132" s="1"/>
  <c r="E199" i="132"/>
  <c r="F199" i="132"/>
  <c r="D206" i="132"/>
  <c r="D203" i="132" s="1"/>
  <c r="C213" i="132"/>
  <c r="C211" i="132"/>
  <c r="C212" i="132"/>
  <c r="D207" i="132"/>
  <c r="D204" i="132" s="1"/>
  <c r="F198" i="132"/>
  <c r="F197" i="132"/>
  <c r="F32" i="131"/>
  <c r="F41" i="131" s="1"/>
  <c r="C221" i="132" l="1"/>
  <c r="C223" i="132" s="1"/>
  <c r="C240" i="132"/>
  <c r="C242" i="132" s="1"/>
  <c r="C215" i="132"/>
  <c r="F201" i="132"/>
  <c r="E207" i="132"/>
  <c r="E204" i="132" s="1"/>
  <c r="F200" i="132"/>
  <c r="E206" i="132"/>
  <c r="E203" i="132" s="1"/>
  <c r="F202" i="132"/>
  <c r="F205" i="132"/>
  <c r="R210" i="132" s="1"/>
  <c r="K210" i="132" s="1"/>
  <c r="D210" i="132"/>
  <c r="D237" i="132" s="1"/>
  <c r="D238" i="132" s="1"/>
  <c r="D240" i="132" s="1"/>
  <c r="D242" i="132" s="1"/>
  <c r="D212" i="132"/>
  <c r="D211" i="132"/>
  <c r="D213" i="132"/>
  <c r="B336" i="130"/>
  <c r="F4" i="131"/>
  <c r="C229" i="132" l="1"/>
  <c r="C228" i="132"/>
  <c r="D214" i="132"/>
  <c r="D223" i="132" s="1"/>
  <c r="E213" i="132"/>
  <c r="E211" i="132"/>
  <c r="E212" i="132"/>
  <c r="E210" i="132"/>
  <c r="E237" i="132" s="1"/>
  <c r="E238" i="132" s="1"/>
  <c r="E240" i="132" s="1"/>
  <c r="L210" i="132"/>
  <c r="F207" i="132"/>
  <c r="F204" i="132" s="1"/>
  <c r="F206" i="132"/>
  <c r="F203" i="132" s="1"/>
  <c r="C234" i="132"/>
  <c r="D215" i="132"/>
  <c r="D230" i="132" s="1"/>
  <c r="D232" i="132" s="1"/>
  <c r="C215" i="130"/>
  <c r="C137" i="130"/>
  <c r="C136" i="130"/>
  <c r="C51" i="130"/>
  <c r="C50" i="130"/>
  <c r="F66" i="131" s="1"/>
  <c r="C123" i="130"/>
  <c r="D229" i="132" l="1"/>
  <c r="D228" i="132"/>
  <c r="E215" i="132"/>
  <c r="E230" i="132" s="1"/>
  <c r="E234" i="132" s="1"/>
  <c r="E214" i="132"/>
  <c r="E223" i="132" s="1"/>
  <c r="F212" i="132"/>
  <c r="D221" i="132"/>
  <c r="F213" i="132"/>
  <c r="F210" i="132"/>
  <c r="F211" i="132"/>
  <c r="D234" i="132"/>
  <c r="E242" i="132"/>
  <c r="C208" i="130"/>
  <c r="E229" i="132" l="1"/>
  <c r="E228" i="132"/>
  <c r="E232" i="132"/>
  <c r="F214" i="132"/>
  <c r="F221" i="132" s="1"/>
  <c r="E221" i="132"/>
  <c r="F215" i="132"/>
  <c r="F230" i="132" s="1"/>
  <c r="J230" i="132" s="1"/>
  <c r="L51" i="132" s="1"/>
  <c r="I51" i="132" s="1"/>
  <c r="F237" i="132"/>
  <c r="F238" i="132" s="1"/>
  <c r="F240" i="132" s="1"/>
  <c r="F242" i="132" s="1"/>
  <c r="C8" i="130"/>
  <c r="F223" i="132" l="1"/>
  <c r="J43" i="132"/>
  <c r="K43" i="132" s="1"/>
  <c r="J42" i="132"/>
  <c r="K42" i="132" s="1"/>
  <c r="J40" i="132"/>
  <c r="K40" i="132" s="1"/>
  <c r="F232" i="132"/>
  <c r="F234" i="132"/>
  <c r="J41" i="132"/>
  <c r="K41" i="132" s="1"/>
  <c r="C69" i="130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229" i="132" l="1"/>
  <c r="F228" i="132"/>
  <c r="J223" i="132"/>
  <c r="L50" i="132" s="1"/>
  <c r="I50" i="132" s="1"/>
  <c r="F60" i="130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57" i="130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100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23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24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24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27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32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32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32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32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32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32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32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59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60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<sst xmlns="http://schemas.openxmlformats.org/spreadsheetml/2006/main" count="1759" uniqueCount="447">
  <si>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</si>
  <si>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</si>
  <si>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</si>
  <si>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</si>
  <si>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</si>
  <si>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</si>
  <si>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</si>
  <si>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</si>
  <si>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</si>
  <si>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</si>
  <si>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</si>
  <si>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</si>
  <si>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</si>
  <si>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</si>
  <si>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</si>
  <si>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</si>
  <si>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</si>
  <si>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</si>
  <si>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</si>
  <si>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</si>
  <si>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</si>
  <si>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</si>
  <si>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</si>
  <si>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</si>
  <si>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</si>
  <si>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</si>
  <si>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</si>
  <si>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</si>
  <si>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</si>
  <si>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</si>
  <si>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</si>
  <si>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</si>
  <si>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</si>
  <si>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</si>
  <si>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</si>
  <si>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</si>
  <si>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</si>
  <si>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</si>
  <si>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</si>
  <si>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</si>
  <si>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</si>
  <si>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</si>
  <si>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</si>
  <si>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</si>
  <si>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</si>
  <si>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</si>
  <si>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</si>
  <si>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</si>
  <si>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</si>
  <si>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</si>
  <si>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</si>
  <si>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</si>
  <si>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</si>
  <si>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</si>
  <si>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</si>
  <si>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</si>
  <si>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</si>
  <si>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</si>
  <si>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</si>
  <si>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</si>
  <si>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</si>
  <si>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</si>
  <si>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</si>
  <si>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</si>
  <si>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</si>
  <si>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</si>
  <si>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</si>
  <si>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</si>
  <si>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</si>
  <si>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</si>
  <si>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</si>
  <si>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</si>
  <si>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</si>
  <si>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</si>
  <si>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</si>
  <si>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</si>
  <si>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</si>
  <si>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</si>
  <si>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</si>
  <si>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</si>
  <si>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</si>
  <si>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</si>
  <si>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</si>
  <si>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</si>
  <si>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</si>
  <si>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</si>
  <si>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</si>
  <si>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</si>
  <si>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</si>
  <si>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</si>
  <si>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</si>
  <si>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</si>
  <si>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</si>
  <si>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</si>
  <si>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</si>
  <si>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</si>
  <si>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</si>
  <si>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</si>
  <si>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</si>
  <si>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</si>
  <si>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</si>
  <si>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</si>
  <si>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</si>
  <si>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</si>
  <si>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</si>
  <si>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</si>
  <si>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</si>
  <si>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</si>
  <si>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</si>
  <si>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</si>
  <si>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</si>
  <si>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</si>
  <si>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</si>
  <si>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</si>
  <si>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</si>
  <si>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</si>
  <si>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</si>
  <si>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</si>
  <si>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</si>
  <si>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</si>
  <si>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</si>
  <si>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</si>
  <si>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</si>
  <si>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</si>
  <si>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</si>
  <si>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</si>
  <si>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</si>
  <si>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</si>
  <si>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</si>
  <si>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</si>
  <si>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</si>
  <si>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</si>
  <si>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</si>
  <si>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</si>
  <si>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</si>
  <si>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</si>
  <si>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</si>
  <si>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</si>
  <si>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</si>
  <si>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</si>
  <si>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</si>
  <si>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</si>
  <si>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</si>
  <si>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</si>
  <si>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</si>
  <si>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</si>
  <si>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</si>
  <si>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</si>
  <si>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</si>
  <si>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</si>
  <si>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</si>
  <si>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</si>
  <si>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</si>
  <si>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</si>
  <si>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</si>
  <si>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</si>
  <si>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</si>
  <si>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</si>
  <si>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</si>
  <si>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</si>
  <si>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</si>
  <si>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</si>
  <si>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</si>
  <si>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</si>
  <si>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</si>
  <si>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</si>
  <si>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</si>
  <si>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</si>
  <si>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</si>
  <si>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</si>
  <si>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</si>
  <si>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</si>
  <si>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</si>
  <si>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</si>
  <si>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</si>
  <si>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</si>
  <si>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</si>
  <si>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</si>
  <si>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</si>
  <si>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</si>
  <si>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</si>
  <si>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</si>
  <si>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</si>
  <si>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</si>
  <si>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</si>
  <si>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</si>
  <si>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</si>
  <si>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</si>
  <si>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</si>
  <si>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</si>
  <si>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</si>
  <si>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</si>
  <si>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</si>
  <si>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</si>
  <si>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</si>
  <si>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</si>
  <si>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</si>
  <si>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</si>
  <si>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</si>
  <si>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</si>
  <si>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</si>
  <si>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</si>
  <si>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</si>
  <si>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</si>
  <si>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</si>
  <si>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</si>
  <si>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</si>
  <si>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</si>
  <si>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</si>
  <si>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</si>
  <si>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</si>
  <si>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</si>
  <si>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</si>
  <si>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</si>
  <si>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</si>
  <si>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</si>
  <si>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</si>
  <si>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</si>
  <si>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</si>
  <si>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</si>
  <si>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</si>
  <si>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</si>
  <si>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</si>
  <si>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</si>
  <si>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</si>
  <si>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</si>
  <si>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</si>
  <si>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</si>
  <si>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</si>
  <si>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</si>
  <si>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</si>
  <si>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</si>
  <si>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</si>
  <si>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</si>
  <si>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</si>
  <si>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</si>
  <si>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</si>
  <si>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</si>
  <si>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</si>
  <si>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</si>
  <si>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</si>
  <si>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</si>
  <si>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</si>
  <si>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</si>
  <si>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</si>
  <si>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</si>
  <si>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</si>
  <si>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</si>
  <si>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</si>
  <si>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</si>
  <si>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</si>
  <si>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</si>
  <si>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</si>
  <si>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</si>
  <si>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</si>
  <si>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</si>
  <si>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</si>
  <si>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</si>
  <si>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</si>
  <si>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</si>
  <si>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</si>
  <si>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</si>
  <si>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</si>
  <si>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</si>
  <si>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</si>
  <si>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</si>
  <si>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</si>
  <si>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</si>
  <si>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</si>
  <si>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</si>
  <si>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</si>
  <si>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</si>
  <si>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</si>
  <si>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</si>
  <si>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</si>
  <si>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</si>
  <si>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</si>
  <si>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</si>
  <si>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</si>
  <si>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</si>
  <si>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</si>
  <si>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</si>
  <si>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</si>
  <si>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</si>
  <si>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</si>
  <si>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</si>
  <si>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</si>
  <si>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</si>
  <si>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</si>
  <si>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</si>
  <si>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</si>
  <si>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</si>
  <si>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</si>
  <si>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</si>
  <si>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</si>
  <si>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</si>
  <si>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</si>
  <si>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</si>
  <si>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</si>
  <si>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</si>
  <si>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</si>
  <si>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</si>
  <si>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</si>
  <si>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</si>
  <si>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</si>
  <si>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</si>
  <si>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</si>
  <si>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</si>
  <si>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</si>
  <si>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</si>
  <si>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</si>
  <si>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</si>
  <si>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</si>
  <si>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</si>
  <si>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</si>
  <si>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</si>
  <si>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</si>
  <si>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</si>
  <si>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</si>
  <si>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</si>
  <si>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</si>
  <si>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</si>
  <si>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</si>
  <si>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</si>
  <si>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</si>
  <si>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</si>
  <si>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</si>
  <si>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</si>
  <si>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</si>
  <si>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</si>
  <si>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</si>
  <si>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</si>
  <si>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</si>
  <si>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</si>
  <si>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</si>
  <si>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</si>
  <si>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</si>
  <si>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</si>
  <si>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</si>
  <si>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</si>
  <si>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</si>
  <si>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</si>
  <si>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</si>
  <si>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</si>
  <si>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</si>
  <si>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</si>
  <si>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</si>
  <si>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</si>
  <si>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</si>
  <si>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</si>
  <si>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</si>
  <si>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</si>
  <si>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</si>
  <si>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</si>
  <si>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</si>
  <si>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</si>
  <si>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</si>
  <si>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</si>
  <si>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</si>
  <si>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</si>
  <si>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</si>
  <si>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</si>
  <si>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</si>
  <si>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</si>
  <si>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</si>
  <si>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</si>
  <si>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</si>
  <si>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</si>
  <si>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</si>
  <si>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</si>
  <si>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</si>
  <si>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</si>
  <si>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</si>
  <si>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</si>
  <si>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</si>
  <si>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</si>
  <si>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</si>
  <si>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</si>
  <si>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</si>
  <si>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</si>
  <si>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</si>
  <si>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</si>
  <si>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</si>
  <si>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</si>
  <si>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</si>
  <si>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</si>
  <si>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</si>
  <si>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</si>
  <si>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</si>
  <si>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</si>
  <si>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</si>
  <si>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</si>
  <si>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</si>
  <si>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</si>
  <si>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</si>
  <si>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</si>
  <si>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</si>
  <si>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</si>
  <si>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</si>
  <si>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</si>
  <si>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</si>
  <si>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</si>
  <si>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</si>
  <si>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</si>
  <si>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</si>
  <si>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</si>
  <si>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</si>
  <si>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</si>
  <si>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</si>
  <si>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</si>
  <si>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</si>
  <si>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</si>
  <si>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</si>
  <si>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</si>
  <si>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</si>
  <si>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</si>
  <si>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</si>
  <si>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</si>
  <si>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</si>
  <si>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</si>
  <si>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</si>
  <si>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</si>
  <si>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</si>
  <si>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</si>
  <si>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</si>
  <si>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</si>
  <si>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</si>
  <si>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</si>
  <si>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</si>
  <si>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</si>
  <si>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</si>
  <si>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</si>
  <si>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</si>
  <si>
    <t>Momento de vuelco longitudinal X</t>
  </si>
  <si>
    <t>Momento de vuelco transversal Y</t>
  </si>
  <si>
    <t>cg1 kp</t>
  </si>
  <si>
    <t>cg2 kp</t>
  </si>
  <si>
    <t>kp 1</t>
  </si>
  <si>
    <t>kp 2</t>
  </si>
  <si>
    <t>FT</t>
  </si>
  <si>
    <t>cgT</t>
  </si>
  <si>
    <t>Resistencia según tr-C</t>
  </si>
  <si>
    <t>Mc2</t>
  </si>
  <si>
    <t>M2o</t>
  </si>
  <si>
    <t>Mc</t>
  </si>
  <si>
    <t>Delta</t>
  </si>
  <si>
    <t>Vxy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</si>
</sst>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5" fillId="12" borderId="0" applyNumberFormat="0" applyBorder="0" applyAlignment="0" applyProtection="0"/>
  </cellStyleXfs>
  <cellXfs count="440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/>
    <xf numFmtId="0" fontId="52" fillId="11" borderId="0" xfId="0" applyFont="1" applyFill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5" fillId="12" borderId="1" xfId="9" applyNumberFormat="1" applyBorder="1"/>
    <xf numFmtId="0" fontId="55" fillId="12" borderId="14" xfId="9" applyBorder="1"/>
    <xf numFmtId="2" fontId="55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56" fillId="0" borderId="0" xfId="0" applyFont="1" applyAlignment="1">
      <alignment horizontal="left" vertical="center"/>
    </xf>
    <xf numFmtId="0" fontId="3" fillId="8" borderId="2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55" fillId="12" borderId="1" xfId="9" applyNumberFormat="1" applyBorder="1"/>
    <xf numFmtId="167" fontId="55" fillId="12" borderId="1" xfId="9" applyNumberFormat="1" applyBorder="1"/>
    <xf numFmtId="1" fontId="0" fillId="0" borderId="44" xfId="0" applyNumberFormat="1" applyBorder="1"/>
    <xf numFmtId="2" fontId="7" fillId="0" borderId="46" xfId="0" applyNumberFormat="1" applyFont="1" applyBorder="1" applyAlignment="1">
      <alignment horizontal="center"/>
    </xf>
    <xf numFmtId="1" fontId="0" fillId="0" borderId="17" xfId="0" applyNumberFormat="1" applyBorder="1"/>
    <xf numFmtId="2" fontId="54" fillId="0" borderId="1" xfId="0" applyNumberFormat="1" applyFont="1" applyBorder="1"/>
    <xf numFmtId="2" fontId="34" fillId="12" borderId="1" xfId="9" applyNumberFormat="1" applyFont="1" applyBorder="1"/>
    <xf numFmtId="2" fontId="34" fillId="12" borderId="1" xfId="9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</cellXfs>
  <cellStyles count="10">
    <cellStyle name="Cálculo" xfId="7" builtinId="22"/>
    <cellStyle name="Énfasis3" xfId="9" builtinId="37"/>
    <cellStyle name="Entrada" xfId="5" builtinId="20"/>
    <cellStyle name="Entrada 2" xfId="8"/>
    <cellStyle name="Neutral" xfId="6" builtinId="28"/>
    <cellStyle name="Normal" xfId="0" builtinId="0"/>
    <cellStyle name="Normal 2" xfId="4"/>
    <cellStyle name="Normal 5" xfId="3"/>
    <cellStyle name="Normal_FUNDA_LINEAS_2001_respaldo" xfId="2"/>
    <cellStyle name="Porcentaje" xfId="1" builtinId="5"/>
  </cellStyles>
  <dxfs count="171"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152.93904239464234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209.08954210729331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167.66756981295188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37856"/>
        <c:axId val="187938432"/>
      </c:scatterChart>
      <c:valAx>
        <c:axId val="18793785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938432"/>
        <c:crosses val="autoZero"/>
        <c:crossBetween val="midCat"/>
        <c:majorUnit val="150"/>
      </c:valAx>
      <c:valAx>
        <c:axId val="18793843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9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170.95280384997184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233.01771672338194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180.71667944052126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40160"/>
        <c:axId val="216285184"/>
        <c:extLst xmlns:c16r2="http://schemas.microsoft.com/office/drawing/2015/06/chart"/>
      </c:scatterChart>
      <c:valAx>
        <c:axId val="18794016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85184"/>
        <c:crosses val="autoZero"/>
        <c:crossBetween val="midCat"/>
        <c:majorUnit val="150"/>
      </c:valAx>
      <c:valAx>
        <c:axId val="21628518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94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196.33611627026571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266.49319177720145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197.48809238525513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87488"/>
        <c:axId val="216288064"/>
        <c:extLst xmlns:c16r2="http://schemas.microsoft.com/office/drawing/2015/06/chart"/>
      </c:scatterChart>
      <c:valAx>
        <c:axId val="216287488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88064"/>
        <c:crosses val="autoZero"/>
        <c:crossBetween val="midCat"/>
        <c:majorUnit val="150"/>
      </c:valAx>
      <c:valAx>
        <c:axId val="21628806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8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267.3830374634851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358.69678124699402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236.46312697260669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0368"/>
        <c:axId val="216290944"/>
        <c:extLst xmlns:c16r2="http://schemas.microsoft.com/office/drawing/2015/06/chart"/>
      </c:scatterChart>
      <c:valAx>
        <c:axId val="216290368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90944"/>
        <c:crosses val="autoZero"/>
        <c:crossBetween val="midCat"/>
        <c:majorUnit val="150"/>
      </c:valAx>
      <c:valAx>
        <c:axId val="21629094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9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(try)'!$J$395:$J$398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(try)'!$K$395:$K$398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(try)'!$L$395</c:f>
              <c:numCache>
                <c:formatCode>0.00</c:formatCode>
                <c:ptCount val="1"/>
                <c:pt idx="0">
                  <c:v>210.5127176178845</c:v>
                </c:pt>
              </c:numCache>
            </c:numRef>
          </c:xVal>
          <c:yVal>
            <c:numRef>
              <c:f>'Dis_Cuadrado (try)'!$M$395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(try)'!$L$396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(try)'!$M$396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(try)'!$L$397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(try)'!$M$397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(try)'!$L$398</c:f>
              <c:numCache>
                <c:formatCode>0.00</c:formatCode>
                <c:ptCount val="1"/>
                <c:pt idx="0">
                  <c:v>163.50818165874952</c:v>
                </c:pt>
              </c:numCache>
            </c:numRef>
          </c:xVal>
          <c:yVal>
            <c:numRef>
              <c:f>'Dis_Cuadrado (try)'!$M$398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17632"/>
        <c:axId val="224718208"/>
      </c:scatterChart>
      <c:valAx>
        <c:axId val="22471763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18208"/>
        <c:crosses val="autoZero"/>
        <c:crossBetween val="midCat"/>
        <c:majorUnit val="150"/>
      </c:valAx>
      <c:valAx>
        <c:axId val="22471820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1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(try)'!$O$395:$O$398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(try)'!$P$395:$P$398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(try)'!$Q$395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(try)'!$R$395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(try)'!$Q$396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(try)'!$R$396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(try)'!$Q$397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(try)'!$R$397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(try)'!$Q$398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(try)'!$R$398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20512"/>
        <c:axId val="224721088"/>
        <c:extLst xmlns:c16r2="http://schemas.microsoft.com/office/drawing/2015/06/chart"/>
      </c:scatterChart>
      <c:valAx>
        <c:axId val="22472051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21088"/>
        <c:crosses val="autoZero"/>
        <c:crossBetween val="midCat"/>
        <c:majorUnit val="150"/>
      </c:valAx>
      <c:valAx>
        <c:axId val="22472108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2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(try)'!$J$402:$J$405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(try)'!$K$402:$K$405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(try)'!$L$402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(try)'!$M$402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(try)'!$L$403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(try)'!$M$403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(try)'!$L$404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(try)'!$M$404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(try)'!$L$405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(try)'!$M$405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75936"/>
        <c:axId val="236176512"/>
        <c:extLst xmlns:c16r2="http://schemas.microsoft.com/office/drawing/2015/06/chart"/>
      </c:scatterChart>
      <c:valAx>
        <c:axId val="23617593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6512"/>
        <c:crosses val="autoZero"/>
        <c:crossBetween val="midCat"/>
        <c:majorUnit val="150"/>
      </c:valAx>
      <c:valAx>
        <c:axId val="23617651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(try)'!$O$402:$O$405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(try)'!$P$402:$P$405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(try)'!$Q$402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(try)'!$R$402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(try)'!$Q$403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(try)'!$R$403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(try)'!$Q$404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(try)'!$R$404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(try)'!$Q$405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(try)'!$R$405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78816"/>
        <c:axId val="236179392"/>
        <c:extLst xmlns:c16r2="http://schemas.microsoft.com/office/drawing/2015/06/chart"/>
      </c:scatterChart>
      <c:valAx>
        <c:axId val="236178816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9392"/>
        <c:crosses val="autoZero"/>
        <c:crossBetween val="midCat"/>
        <c:majorUnit val="150"/>
      </c:valAx>
      <c:valAx>
        <c:axId val="23617939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9419896" y="37064933"/>
          <a:ext cx="1515757" cy="605360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2236699" y="36915479"/>
          <a:ext cx="2008423" cy="1887531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939179" y="39090857"/>
          <a:ext cx="2531118" cy="1295355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496738" y="35634782"/>
          <a:ext cx="1005457" cy="1208229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9455949" y="40893070"/>
          <a:ext cx="998111" cy="575704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9316601" y="50754324"/>
          <a:ext cx="2093869" cy="758833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pSpPr/>
      </xdr:nvGrpSpPr>
      <xdr:grpSpPr>
        <a:xfrm>
          <a:off x="159084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xmlns="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367</xdr:row>
      <xdr:rowOff>59531</xdr:rowOff>
    </xdr:from>
    <xdr:to>
      <xdr:col>2</xdr:col>
      <xdr:colOff>107155</xdr:colOff>
      <xdr:row>380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367</xdr:row>
      <xdr:rowOff>59127</xdr:rowOff>
    </xdr:from>
    <xdr:to>
      <xdr:col>6</xdr:col>
      <xdr:colOff>172713</xdr:colOff>
      <xdr:row>380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380</xdr:row>
      <xdr:rowOff>64708</xdr:rowOff>
    </xdr:from>
    <xdr:to>
      <xdr:col>2</xdr:col>
      <xdr:colOff>110726</xdr:colOff>
      <xdr:row>386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380</xdr:row>
      <xdr:rowOff>54161</xdr:rowOff>
    </xdr:from>
    <xdr:to>
      <xdr:col>6</xdr:col>
      <xdr:colOff>177838</xdr:colOff>
      <xdr:row>386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218</xdr:row>
      <xdr:rowOff>130345</xdr:rowOff>
    </xdr:from>
    <xdr:to>
      <xdr:col>10</xdr:col>
      <xdr:colOff>3754</xdr:colOff>
      <xdr:row>222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8967819" y="30066059"/>
          <a:ext cx="1486221" cy="654826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223</xdr:row>
      <xdr:rowOff>2</xdr:rowOff>
    </xdr:from>
    <xdr:to>
      <xdr:col>11</xdr:col>
      <xdr:colOff>666280</xdr:colOff>
      <xdr:row>228</xdr:row>
      <xdr:rowOff>213216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217</xdr:row>
      <xdr:rowOff>169150</xdr:rowOff>
    </xdr:from>
    <xdr:to>
      <xdr:col>13</xdr:col>
      <xdr:colOff>807028</xdr:colOff>
      <xdr:row>228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1732754" y="29900757"/>
          <a:ext cx="1973845" cy="2199374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229</xdr:row>
      <xdr:rowOff>139210</xdr:rowOff>
    </xdr:from>
    <xdr:to>
      <xdr:col>14</xdr:col>
      <xdr:colOff>198485</xdr:colOff>
      <xdr:row>235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435234" y="32388139"/>
          <a:ext cx="2479251" cy="135586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218</xdr:row>
      <xdr:rowOff>0</xdr:rowOff>
    </xdr:from>
    <xdr:to>
      <xdr:col>12</xdr:col>
      <xdr:colOff>52040</xdr:colOff>
      <xdr:row>220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231</xdr:row>
      <xdr:rowOff>80964</xdr:rowOff>
    </xdr:from>
    <xdr:to>
      <xdr:col>9</xdr:col>
      <xdr:colOff>795338</xdr:colOff>
      <xdr:row>232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230</xdr:row>
      <xdr:rowOff>166689</xdr:rowOff>
    </xdr:from>
    <xdr:to>
      <xdr:col>11</xdr:col>
      <xdr:colOff>456588</xdr:colOff>
      <xdr:row>231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230</xdr:row>
      <xdr:rowOff>164307</xdr:rowOff>
    </xdr:from>
    <xdr:to>
      <xdr:col>10</xdr:col>
      <xdr:colOff>959644</xdr:colOff>
      <xdr:row>231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235</xdr:row>
      <xdr:rowOff>166482</xdr:rowOff>
    </xdr:from>
    <xdr:to>
      <xdr:col>10</xdr:col>
      <xdr:colOff>166688</xdr:colOff>
      <xdr:row>237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210</xdr:row>
      <xdr:rowOff>161441</xdr:rowOff>
    </xdr:from>
    <xdr:to>
      <xdr:col>9</xdr:col>
      <xdr:colOff>398971</xdr:colOff>
      <xdr:row>217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044661" y="28532334"/>
          <a:ext cx="988167" cy="1295955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238</xdr:row>
      <xdr:rowOff>121588</xdr:rowOff>
    </xdr:from>
    <xdr:to>
      <xdr:col>9</xdr:col>
      <xdr:colOff>350836</xdr:colOff>
      <xdr:row>241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9003872" y="34289124"/>
          <a:ext cx="980821" cy="609641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297</xdr:row>
      <xdr:rowOff>1</xdr:rowOff>
    </xdr:from>
    <xdr:to>
      <xdr:col>10</xdr:col>
      <xdr:colOff>779484</xdr:colOff>
      <xdr:row>301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04010" y="44261315"/>
          <a:ext cx="2376131" cy="743446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293</xdr:row>
      <xdr:rowOff>183311</xdr:rowOff>
    </xdr:from>
    <xdr:to>
      <xdr:col>8</xdr:col>
      <xdr:colOff>675736</xdr:colOff>
      <xdr:row>294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289</xdr:row>
      <xdr:rowOff>162310</xdr:rowOff>
    </xdr:from>
    <xdr:to>
      <xdr:col>12</xdr:col>
      <xdr:colOff>217714</xdr:colOff>
      <xdr:row>296</xdr:row>
      <xdr:rowOff>127464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8864524" y="44263060"/>
          <a:ext cx="3436333" cy="1353083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305</xdr:row>
      <xdr:rowOff>151086</xdr:rowOff>
    </xdr:from>
    <xdr:to>
      <xdr:col>10</xdr:col>
      <xdr:colOff>208017</xdr:colOff>
      <xdr:row>308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24857" y="45892857"/>
          <a:ext cx="1783817" cy="486666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315</xdr:row>
      <xdr:rowOff>0</xdr:rowOff>
    </xdr:from>
    <xdr:to>
      <xdr:col>8</xdr:col>
      <xdr:colOff>578070</xdr:colOff>
      <xdr:row>316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18289" y="47592343"/>
          <a:ext cx="505810" cy="240236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321</xdr:row>
      <xdr:rowOff>1</xdr:rowOff>
    </xdr:from>
    <xdr:to>
      <xdr:col>8</xdr:col>
      <xdr:colOff>589018</xdr:colOff>
      <xdr:row>321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98581" y="48713572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253</xdr:row>
      <xdr:rowOff>0</xdr:rowOff>
    </xdr:from>
    <xdr:to>
      <xdr:col>8</xdr:col>
      <xdr:colOff>959069</xdr:colOff>
      <xdr:row>254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327</xdr:row>
      <xdr:rowOff>26275</xdr:rowOff>
    </xdr:from>
    <xdr:to>
      <xdr:col>8</xdr:col>
      <xdr:colOff>652185</xdr:colOff>
      <xdr:row>328</xdr:row>
      <xdr:rowOff>11207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124857" y="49871961"/>
          <a:ext cx="573357" cy="169989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359</xdr:row>
      <xdr:rowOff>16567</xdr:rowOff>
    </xdr:from>
    <xdr:to>
      <xdr:col>9</xdr:col>
      <xdr:colOff>582193</xdr:colOff>
      <xdr:row>362</xdr:row>
      <xdr:rowOff>5576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62297" y="66739192"/>
          <a:ext cx="1340172" cy="606454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349</xdr:row>
      <xdr:rowOff>140806</xdr:rowOff>
    </xdr:from>
    <xdr:to>
      <xdr:col>10</xdr:col>
      <xdr:colOff>371608</xdr:colOff>
      <xdr:row>351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37</xdr:row>
      <xdr:rowOff>180635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447675</xdr:colOff>
          <xdr:row>7</xdr:row>
          <xdr:rowOff>28575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276225</xdr:colOff>
          <xdr:row>5</xdr:row>
          <xdr:rowOff>123825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219075</xdr:colOff>
          <xdr:row>6</xdr:row>
          <xdr:rowOff>142875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0.39997558519241921"/>
    <pageSetUpPr fitToPage="1"/>
  </sheetPr>
  <dimension ref="A1:AM409"/>
  <sheetViews>
    <sheetView showGridLines="0" topLeftCell="A10" zoomScale="85" zoomScaleNormal="85" zoomScaleSheetLayoutView="80" workbookViewId="0">
      <selection activeCell="C39" sqref="C39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66" t="s">
        <v>390</v>
      </c>
      <c r="B2" s="367"/>
      <c r="C2" s="124"/>
      <c r="D2" s="124"/>
      <c r="E2" s="124"/>
      <c r="F2" s="124"/>
      <c r="G2" s="124"/>
      <c r="H2" s="122"/>
      <c r="I2" s="100"/>
      <c r="J2" s="306">
        <v>2</v>
      </c>
      <c r="Q2" s="370" t="s">
        <v>0</v>
      </c>
      <c r="R2" s="371"/>
      <c r="S2" s="371"/>
      <c r="T2" s="371"/>
      <c r="U2" s="371"/>
      <c r="V2" s="372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68"/>
      <c r="B3" s="369"/>
      <c r="C3" s="50"/>
      <c r="H3" s="28"/>
      <c r="I3" s="100"/>
      <c r="J3" s="203"/>
      <c r="L3" s="31"/>
      <c r="M3" s="31"/>
      <c r="N3" s="31"/>
      <c r="O3" s="31"/>
      <c r="P3" s="31"/>
      <c r="Q3" s="373" t="s">
        <v>1</v>
      </c>
      <c r="R3" s="374"/>
      <c r="S3" s="374"/>
      <c r="T3" s="374"/>
      <c r="U3" s="374"/>
      <c r="V3" s="375"/>
      <c r="W3" s="138"/>
      <c r="X3" s="138"/>
      <c r="Y3" s="138"/>
      <c r="Z3" s="138"/>
      <c r="AE3" s="141"/>
      <c r="AF3" s="142"/>
      <c r="AH3" s="142"/>
      <c r="AI3" s="142"/>
      <c r="AJ3" s="376"/>
      <c r="AK3" s="376"/>
      <c r="AL3" s="376"/>
      <c r="AM3" s="376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16</v>
      </c>
      <c r="D5" s="255" t="s">
        <v>17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77" t="s">
        <v>14</v>
      </c>
      <c r="G6" s="378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3" t="s">
        <v>27</v>
      </c>
      <c r="R11" s="374"/>
      <c r="S11" s="374"/>
      <c r="T11" s="374"/>
      <c r="U11" s="374"/>
      <c r="V11" s="375"/>
      <c r="W11" s="379"/>
      <c r="X11" s="379"/>
      <c r="Y11" s="379"/>
      <c r="Z11" s="379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14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80" t="s">
        <v>34</v>
      </c>
      <c r="D19" s="381"/>
      <c r="E19" s="381"/>
      <c r="F19" s="381" t="s">
        <v>35</v>
      </c>
      <c r="G19" s="381"/>
      <c r="H19" s="382"/>
      <c r="I19" s="100"/>
      <c r="J19" s="381" t="s">
        <v>34</v>
      </c>
      <c r="K19" s="381"/>
      <c r="L19" s="381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80" t="s">
        <v>34</v>
      </c>
      <c r="D27" s="381"/>
      <c r="E27" s="381"/>
      <c r="F27" s="381" t="s">
        <v>35</v>
      </c>
      <c r="G27" s="381"/>
      <c r="H27" s="382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0.85234844287613876</v>
      </c>
      <c r="J46" s="100" t="s">
        <v>301</v>
      </c>
      <c r="K46" s="203">
        <f>+J61</f>
        <v>1.3552340241730607</v>
      </c>
      <c r="L46" s="162">
        <v>1.5</v>
      </c>
      <c r="M46" s="313">
        <f>+I326</f>
        <v>0.60803069666427756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0.77271367414003544</v>
      </c>
      <c r="J47" s="100" t="s">
        <v>302</v>
      </c>
      <c r="K47" s="203">
        <f>+J72</f>
        <v>1.2286147418826563</v>
      </c>
      <c r="L47" s="162">
        <v>1.5</v>
      </c>
      <c r="M47" s="314">
        <f>+I327</f>
        <v>0.43825081311133379</v>
      </c>
    </row>
    <row r="48" spans="1:16" ht="15.75" thickBot="1">
      <c r="A48" s="252"/>
      <c r="B48" s="200" t="s">
        <v>58</v>
      </c>
      <c r="C48" s="4"/>
      <c r="H48" s="28"/>
      <c r="I48" s="4">
        <f t="shared" si="20"/>
        <v>4.8785170098614294</v>
      </c>
      <c r="J48" s="100" t="s">
        <v>303</v>
      </c>
      <c r="K48" s="203">
        <f>+J82</f>
        <v>7.7568420456796732</v>
      </c>
      <c r="L48" s="162">
        <v>1.5</v>
      </c>
    </row>
    <row r="49" spans="1:12" ht="17.25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0.64673493351455813</v>
      </c>
      <c r="J49" s="100" t="s">
        <v>304</v>
      </c>
      <c r="K49" s="203">
        <f>+L106/MAX(J106,J150,J172,J128)</f>
        <v>0.68553902952543166</v>
      </c>
      <c r="L49" s="162">
        <v>1</v>
      </c>
    </row>
    <row r="50" spans="1:12" ht="17.25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1.2327688128778622</v>
      </c>
      <c r="J50" s="100" t="s">
        <v>324</v>
      </c>
      <c r="K50" s="203">
        <f>+L206</f>
        <v>1.14564392373896</v>
      </c>
      <c r="L50" s="203">
        <f>+J206</f>
        <v>0.87672249912587441</v>
      </c>
    </row>
    <row r="51" spans="1:12" ht="17.25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1.0915321322731677</v>
      </c>
      <c r="J51" s="100" t="s">
        <v>323</v>
      </c>
      <c r="K51" s="203">
        <f>+L212</f>
        <v>569.67144107919785</v>
      </c>
      <c r="L51" s="203">
        <f>+J212</f>
        <v>492.3592003575277</v>
      </c>
    </row>
    <row r="52" spans="1:12" ht="15.7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3.7790752161151788</v>
      </c>
      <c r="J52" s="100" t="s">
        <v>322</v>
      </c>
      <c r="K52" s="203">
        <f>+L348</f>
        <v>219.110792373896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7.25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60.550000000000004</v>
      </c>
      <c r="D57" s="5">
        <f t="shared" ref="D57:F57" si="28">+D49*$C$12</f>
        <v>61.25</v>
      </c>
      <c r="E57" s="5">
        <f t="shared" si="28"/>
        <v>62.125</v>
      </c>
      <c r="F57" s="5">
        <f t="shared" si="28"/>
        <v>64.05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824.7601910270962</v>
      </c>
      <c r="D58" s="231">
        <f t="shared" ref="D58:F58" si="29">+D55+D56+D57</f>
        <v>825.46019102709624</v>
      </c>
      <c r="E58" s="231">
        <f t="shared" si="29"/>
        <v>826.33519102709624</v>
      </c>
      <c r="F58" s="231">
        <f t="shared" si="29"/>
        <v>828.2601910270962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1.3552340241730607</v>
      </c>
      <c r="D61" s="17">
        <f t="shared" ref="D61:F61" si="31">+D58/D60</f>
        <v>1.3563842540547186</v>
      </c>
      <c r="E61" s="17">
        <f t="shared" si="31"/>
        <v>1.3578220414067907</v>
      </c>
      <c r="F61" s="17">
        <f t="shared" si="31"/>
        <v>1.3609851735813496</v>
      </c>
      <c r="G61" s="191"/>
      <c r="H61" s="28"/>
      <c r="I61" s="162" t="s">
        <v>301</v>
      </c>
      <c r="J61" s="203">
        <f>+MIN(C61:F61)</f>
        <v>1.3552340241730607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1302.9702539919849</v>
      </c>
      <c r="D70" s="5">
        <f t="shared" ref="D70:F70" si="35">+(D58)*D42/2+D66*(D43-2/3*D64)</f>
        <v>1304.0202539919849</v>
      </c>
      <c r="E70" s="5">
        <f t="shared" si="35"/>
        <v>1305.3327539919849</v>
      </c>
      <c r="F70" s="5">
        <f t="shared" si="35"/>
        <v>1308.2202539919849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1296.9548172031382</v>
      </c>
      <c r="D71" s="5">
        <f t="shared" ref="D71:F71" si="36">+(D58)*D42/2+D67*(D43-2/3*D65)</f>
        <v>1298.0048172031381</v>
      </c>
      <c r="E71" s="5">
        <f t="shared" si="36"/>
        <v>1299.3173172031381</v>
      </c>
      <c r="F71" s="5">
        <f t="shared" si="36"/>
        <v>1302.2048172031382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1.2656833490959531</v>
      </c>
      <c r="D72" s="17">
        <f t="shared" ref="D72:F72" si="37">+MIN(D70/D68,D71/D69)</f>
        <v>1.2580674531639904</v>
      </c>
      <c r="E72" s="17">
        <f t="shared" si="37"/>
        <v>1.248692379816599</v>
      </c>
      <c r="F72" s="17">
        <f t="shared" si="37"/>
        <v>1.2286147418826563</v>
      </c>
      <c r="G72" s="193"/>
      <c r="H72" s="28"/>
      <c r="I72" s="100" t="s">
        <v>302</v>
      </c>
      <c r="J72" s="203">
        <f>+MIN(C72:F72)</f>
        <v>1.2286147418826563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1157.674</v>
      </c>
      <c r="D75" s="5">
        <f t="shared" ref="D75:F75" si="39">D56+D57-MIN($H$22:$H$25)</f>
        <v>1158.374</v>
      </c>
      <c r="E75" s="5">
        <f t="shared" si="39"/>
        <v>1159.249</v>
      </c>
      <c r="F75" s="5">
        <f t="shared" si="39"/>
        <v>1161.174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90</v>
      </c>
      <c r="D78" s="5">
        <f t="shared" ref="D78:F78" si="40">+IF($D$5="GRANULAR",D75*TAN($C$7*PI()/180),$C$9*D42^2)</f>
        <v>90</v>
      </c>
      <c r="E78" s="5">
        <f t="shared" si="40"/>
        <v>90</v>
      </c>
      <c r="F78" s="5">
        <f t="shared" si="40"/>
        <v>90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274.07249999999988</v>
      </c>
      <c r="D81" s="5">
        <f t="shared" ref="D81:F81" si="43">+D78+D79*3/4</f>
        <v>274.07249999999988</v>
      </c>
      <c r="E81" s="5">
        <f t="shared" si="43"/>
        <v>274.07249999999988</v>
      </c>
      <c r="F81" s="5">
        <f t="shared" si="43"/>
        <v>274.07249999999988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7.7568420456796732</v>
      </c>
      <c r="D82" s="248">
        <f t="shared" ref="D82:F82" si="44">+D81/ (  MAX(D76:D77)  )</f>
        <v>7.7568420456796732</v>
      </c>
      <c r="E82" s="248">
        <f t="shared" si="44"/>
        <v>7.7568420456796732</v>
      </c>
      <c r="F82" s="248">
        <f t="shared" si="44"/>
        <v>7.7568420456796732</v>
      </c>
      <c r="G82" s="195"/>
      <c r="H82" s="28"/>
      <c r="I82" s="100" t="s">
        <v>303</v>
      </c>
      <c r="J82" s="203">
        <f>+MIN(C82:F82)</f>
        <v>7.7568420456796732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.75" thickBot="1">
      <c r="A85" s="252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1784.2941375293624</v>
      </c>
      <c r="D94" s="201">
        <f>+(D$56+D$57+  IF(   $H$22&gt;0, 0, -$H$22   )  )*D$42/2 + D90*(D$43-2/3*D88)</f>
        <v>1785.3441375293626</v>
      </c>
      <c r="E94" s="201">
        <f>+(E$56+E$57+  IF(   $H$22&gt;0, 0, -$H$22   )  )*E$42/2 + E90*(E$43-2/3*E88)</f>
        <v>1786.6566375293626</v>
      </c>
      <c r="F94" s="201">
        <f>+(F$56+F$57+  IF(   $H$22&gt;0, 0, -$H$22   )  )*F$42/2 + F90*(F$43-2/3*F88)</f>
        <v>1789.5441375293624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1764.5826016872691</v>
      </c>
      <c r="D95" s="201">
        <f>+(D$56+D$57+   IF(   $H$22&gt;0, 0, -$H$22   )    )*D$42/2+D91*(D$43-2/3*D89)</f>
        <v>1765.6326016872692</v>
      </c>
      <c r="E95" s="201">
        <f>+(E$56+E$57+   IF(   $H$22&gt;0, 0, -$H$22   )    )*E$42/2+E91*(E$43-2/3*E89)</f>
        <v>1766.9451016872692</v>
      </c>
      <c r="F95" s="201">
        <f>+(F$56+F$57+   IF(   $H$22&gt;0, 0, -$H$22   )    )*F$42/2+F91*(F$43-2/3*F89)</f>
        <v>1769.8326016872691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11.564698312730734</v>
      </c>
      <c r="D96" s="201">
        <f>+D99*D98</f>
        <v>13.966898312730688</v>
      </c>
      <c r="E96" s="201">
        <f>+E99*E98</f>
        <v>16.969648312730861</v>
      </c>
      <c r="F96" s="201">
        <f>+F99*F98</f>
        <v>23.575698312731003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27.872662470637593</v>
      </c>
      <c r="D97" s="201">
        <f>+D100*D98</f>
        <v>32.457862470637473</v>
      </c>
      <c r="E97" s="201">
        <f>+E100*E98</f>
        <v>38.189362470637491</v>
      </c>
      <c r="F97" s="201">
        <f>+F100*F98</f>
        <v>50.798662470637417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1157.674</v>
      </c>
      <c r="D98" s="202">
        <f>+D$56+D$57+  IF(   $H$22&gt;0, -$H$22, -$H$22   )</f>
        <v>1158.374</v>
      </c>
      <c r="E98" s="202">
        <f>+E$56+E$57+  IF(   $H$22&gt;0, -$H$22, -$H$22   )</f>
        <v>1159.249</v>
      </c>
      <c r="F98" s="202">
        <f>+F$56+F$57+  IF(   $H$22&gt;0, -$H$22, -$H$22   )</f>
        <v>1161.174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9.9895983780673436E-3</v>
      </c>
      <c r="D99" s="202">
        <f>+ABS(D$42/2-(D95-D93)/D98)</f>
        <v>1.2057330631325192E-2</v>
      </c>
      <c r="E99" s="202">
        <f>+ABS(E$42/2-(E95-E93)/E98)</f>
        <v>1.463848432280801E-2</v>
      </c>
      <c r="F99" s="202">
        <f>+ABS(F$42/2-(F95-F93)/F98)</f>
        <v>2.0303329486133004E-2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2.4076434704966676E-2</v>
      </c>
      <c r="D100" s="202">
        <f>+ABS(D$42/2-(D94-D92)/D98)</f>
        <v>2.802019250314447E-2</v>
      </c>
      <c r="E100" s="202">
        <f>+ABS(E$42/2-(E94-E92)/E98)</f>
        <v>3.2943192075764127E-2</v>
      </c>
      <c r="F100" s="202">
        <f>+ABS(F$42/2-(F94-F92)/F98)</f>
        <v>4.3747674741802189E-2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137.39430239630406</v>
      </c>
      <c r="D103" s="17">
        <f>+(D98/D$42^2)*(1+6*D99/D$42+6*D100/D$42)</f>
        <v>139.02483572963737</v>
      </c>
      <c r="E103" s="17">
        <f>+(E98/E$42^2)*(1+6*E99/E$42+6*E100/E$42)</f>
        <v>141.06300239630409</v>
      </c>
      <c r="F103" s="17">
        <f>+(F98/F$42^2)*(1+6*F99/F$42+6*F100/F$42)</f>
        <v>145.54696906297076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125.00645240935403</v>
      </c>
      <c r="D104" s="5">
        <f>+(D98/D$42^2)*(1+6*D99/D$42-6*D100/D$42)</f>
        <v>124.59911907602071</v>
      </c>
      <c r="E104" s="5">
        <f>+(E98/E$42^2)*(1+6*E99/E$42-6*E100/E$42)</f>
        <v>124.08995240935408</v>
      </c>
      <c r="F104" s="5">
        <f>+(F98/F$42^2)*(1+6*F99/F$42-6*F100/F$42)</f>
        <v>122.96978574268745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132.25443647953486</v>
      </c>
      <c r="D105" s="5">
        <f>+(D98/D$42^2)*(1-6*D99/D$42+6*D100/D$42)</f>
        <v>132.81732536842372</v>
      </c>
      <c r="E105" s="5">
        <f>+(E98/E$42^2)*(1-6*E99/E$42+6*E100/E$42)</f>
        <v>133.52093647953481</v>
      </c>
      <c r="F105" s="5">
        <f>+(F98/F$42^2)*(1-6*F99/F$42+6*F100/F$42)</f>
        <v>135.06888092397918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119.86658649258482</v>
      </c>
      <c r="D106" s="5">
        <f>+(D98/D$42^2)*(1-6*D99/D$42-6*D100/D$42)</f>
        <v>118.39160871480708</v>
      </c>
      <c r="E106" s="5">
        <f>+(E98/E$42^2)*(1-6*E99/E$42-6*E100/E$42)</f>
        <v>116.54788649258481</v>
      </c>
      <c r="F106" s="5">
        <f>+(F98/F$42^2)*(1-6*F99/F$42-6*F100/F$42)</f>
        <v>112.4916976036959</v>
      </c>
      <c r="G106" s="18" t="s">
        <v>13</v>
      </c>
      <c r="H106" s="28"/>
      <c r="I106" s="100" t="s">
        <v>304</v>
      </c>
      <c r="J106" s="203">
        <f>+MAX(C103:F106)</f>
        <v>145.54696906297076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1258.5023427811886</v>
      </c>
      <c r="D116" s="201">
        <f t="shared" ref="D116:F116" si="55">+(D$56+D$57+  IF(   $H$23&gt;0, +D$55, -$H$23   )  )*D$42/2 + D112*(D$43-2/3*D110)</f>
        <v>1259.5523427811886</v>
      </c>
      <c r="E116" s="201">
        <f t="shared" si="55"/>
        <v>1260.8648427811886</v>
      </c>
      <c r="F116" s="201">
        <f t="shared" si="55"/>
        <v>1263.7523427811886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1256.9287457936543</v>
      </c>
      <c r="D117" s="201">
        <f t="shared" ref="D117:F117" si="56">+(D$56+D$57+   IF(   $H$23&gt;0, +D$55, -$H$23   )    )*D$42/2+D113*(D$43-2/3*D111)</f>
        <v>1272.4769084449085</v>
      </c>
      <c r="E117" s="201">
        <f t="shared" si="56"/>
        <v>1273.7894084449085</v>
      </c>
      <c r="F117" s="201">
        <f t="shared" si="56"/>
        <v>1276.6769084449086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30.407840746989926</v>
      </c>
      <c r="D118" s="201">
        <f t="shared" ref="D118:F118" si="57">+D121*D120</f>
        <v>18.951878095735815</v>
      </c>
      <c r="E118" s="201">
        <f t="shared" si="57"/>
        <v>22.754628095735793</v>
      </c>
      <c r="F118" s="201">
        <f t="shared" si="57"/>
        <v>31.120678095735723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7.6086437594556307</v>
      </c>
      <c r="D119" s="201">
        <f t="shared" ref="D119:F119" si="58">+D122*D120</f>
        <v>9.3644437594556855</v>
      </c>
      <c r="E119" s="201">
        <f t="shared" si="58"/>
        <v>11.55919375945569</v>
      </c>
      <c r="F119" s="201">
        <f t="shared" si="58"/>
        <v>16.387643759455635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216.1861910270963</v>
      </c>
      <c r="D120" s="202">
        <f t="shared" ref="D120:F120" si="59">+D$56+D$57+  IF(   $H$23&gt;0, -$H$23+D$55, -$H$23   )</f>
        <v>216.88619102709629</v>
      </c>
      <c r="E120" s="202">
        <f t="shared" si="59"/>
        <v>217.76119102709629</v>
      </c>
      <c r="F120" s="202">
        <f t="shared" si="59"/>
        <v>219.6861910270963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0.14065579583285537</v>
      </c>
      <c r="D121" s="202">
        <f t="shared" ref="D121:F121" si="60">+ABS(D$42/2-(D117-D115)/D120)</f>
        <v>8.7381672415318024E-2</v>
      </c>
      <c r="E121" s="202">
        <f t="shared" si="60"/>
        <v>0.10449349578045064</v>
      </c>
      <c r="F121" s="202">
        <f t="shared" si="60"/>
        <v>0.14165969171861725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3.5194864775160317E-2</v>
      </c>
      <c r="D122" s="202">
        <f t="shared" ref="D122:F122" si="61">+ABS(D$42/2-(D116-D114)/D120)</f>
        <v>4.3176763421908015E-2</v>
      </c>
      <c r="E122" s="202">
        <f t="shared" si="61"/>
        <v>5.3081973445017416E-2</v>
      </c>
      <c r="F122" s="202">
        <f t="shared" si="61"/>
        <v>7.4595693442717881E-2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32.468795559998597</v>
      </c>
      <c r="D125" s="17">
        <f t="shared" ref="D125:F125" si="63">+(D120/D$42^2)*(1+6*D121/D$42+6*D122/D$42)</f>
        <v>30.390981637497699</v>
      </c>
      <c r="E125" s="17">
        <f t="shared" si="63"/>
        <v>31.820981637497695</v>
      </c>
      <c r="F125" s="17">
        <f t="shared" si="63"/>
        <v>34.966981637497668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29.087176111351653</v>
      </c>
      <c r="D126" s="5">
        <f t="shared" ref="D126:F126" si="64">+(D120/D$42^2)*(1+6*D121/D$42-6*D122/D$42)</f>
        <v>26.229006633295175</v>
      </c>
      <c r="E126" s="5">
        <f t="shared" si="64"/>
        <v>26.683562188850722</v>
      </c>
      <c r="F126" s="5">
        <f t="shared" si="64"/>
        <v>27.683584411072939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18.954199672447523</v>
      </c>
      <c r="D127" s="5">
        <f t="shared" ref="D127:F127" si="65">+(D120/D$42^2)*(1-6*D121/D$42+6*D122/D$42)</f>
        <v>21.967924706059559</v>
      </c>
      <c r="E127" s="5">
        <f t="shared" si="65"/>
        <v>21.707813594948455</v>
      </c>
      <c r="F127" s="5">
        <f t="shared" si="65"/>
        <v>21.135569150504015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15.572580223800575</v>
      </c>
      <c r="D128" s="5">
        <f t="shared" ref="D128:F128" si="66">+(D120/D$42^2)*(1-6*D121/D$42-6*D122/D$42)</f>
        <v>17.805949701857035</v>
      </c>
      <c r="E128" s="5">
        <f t="shared" si="66"/>
        <v>16.570394146301481</v>
      </c>
      <c r="F128" s="5">
        <f t="shared" si="66"/>
        <v>13.852171924079286</v>
      </c>
      <c r="G128" s="18" t="s">
        <v>13</v>
      </c>
      <c r="H128" s="28"/>
      <c r="I128" s="100" t="s">
        <v>304</v>
      </c>
      <c r="J128" s="203">
        <f>+MAX(C125:F128)</f>
        <v>34.966981637497668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867.97505939101211</v>
      </c>
      <c r="D138" s="201">
        <f t="shared" ref="D138:F138" si="75">+(D$56+D$57+  IF(   $H$24&gt;0, +D$55, -$H$24   )  )*D$42/2 + D134*(D$43-2/3*D132)</f>
        <v>869.02505939101206</v>
      </c>
      <c r="E138" s="201">
        <f t="shared" si="75"/>
        <v>870.33755939101206</v>
      </c>
      <c r="F138" s="201">
        <f t="shared" si="75"/>
        <v>873.22505939101211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885.93053066249388</v>
      </c>
      <c r="D139" s="201">
        <f t="shared" ref="D139:F139" si="76">+(D$56+D$57+   IF(   $H$24&gt;0, +D$55, -$H$24   )    )*D$42/2+D135*(D$43-2/3*D133)</f>
        <v>886.98053066249383</v>
      </c>
      <c r="E139" s="201">
        <f t="shared" si="76"/>
        <v>888.29303066249383</v>
      </c>
      <c r="F139" s="201">
        <f t="shared" si="76"/>
        <v>891.18053066249388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42.076269337506176</v>
      </c>
      <c r="D140" s="201">
        <f t="shared" ref="D140:F140" si="77">+D143*D142</f>
        <v>48.251469337506165</v>
      </c>
      <c r="E140" s="201">
        <f t="shared" si="77"/>
        <v>55.970469337506096</v>
      </c>
      <c r="F140" s="201">
        <f t="shared" si="77"/>
        <v>72.952269337506124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22.164240608987896</v>
      </c>
      <c r="D141" s="201">
        <f t="shared" ref="D141:F141" si="78">+D144*D142</f>
        <v>26.044440608987944</v>
      </c>
      <c r="E141" s="201">
        <f t="shared" si="78"/>
        <v>30.894690608987851</v>
      </c>
      <c r="F141" s="201">
        <f t="shared" si="78"/>
        <v>41.565240608987956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550.74400000000003</v>
      </c>
      <c r="D142" s="202">
        <f t="shared" ref="D142:F142" si="79">+D$56+D$57+  IF(   $H$24&gt;0, -$H$24+D$55, -$H$24   )</f>
        <v>551.44399999999996</v>
      </c>
      <c r="E142" s="202">
        <f t="shared" si="79"/>
        <v>552.31899999999996</v>
      </c>
      <c r="F142" s="202">
        <f t="shared" si="79"/>
        <v>554.24400000000003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7.6398960928319104E-2</v>
      </c>
      <c r="D143" s="202">
        <f t="shared" ref="D143:F143" si="80">+ABS(D$42/2-(D139-D137)/D142)</f>
        <v>8.7500216409111653E-2</v>
      </c>
      <c r="E143" s="202">
        <f t="shared" si="80"/>
        <v>0.10133721515556426</v>
      </c>
      <c r="F143" s="202">
        <f t="shared" si="80"/>
        <v>0.13162482469364778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4.0244179889364018E-2</v>
      </c>
      <c r="D144" s="202">
        <f t="shared" ref="D144:F144" si="81">+ABS(D$42/2-(D138-D136)/D142)</f>
        <v>4.7229529397342151E-2</v>
      </c>
      <c r="E144" s="202">
        <f t="shared" si="81"/>
        <v>5.593631689112244E-2</v>
      </c>
      <c r="F144" s="202">
        <f t="shared" si="81"/>
        <v>7.4994480064715097E-2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75.469446654776462</v>
      </c>
      <c r="D147" s="17">
        <f t="shared" ref="D147:F147" si="83">+(D142/D$42^2)*(1+6*D143/D$42+6*D144/D$42)</f>
        <v>77.781757765887576</v>
      </c>
      <c r="E147" s="17">
        <f t="shared" si="83"/>
        <v>80.672146654776427</v>
      </c>
      <c r="F147" s="17">
        <f t="shared" si="83"/>
        <v>87.031002210332019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65.618673050781851</v>
      </c>
      <c r="D148" s="5">
        <f t="shared" ref="D148:F148" si="84">+(D142/D$42^2)*(1+6*D143/D$42-6*D144/D$42)</f>
        <v>66.206450828559596</v>
      </c>
      <c r="E148" s="5">
        <f t="shared" si="84"/>
        <v>66.941173050781828</v>
      </c>
      <c r="F148" s="5">
        <f t="shared" si="84"/>
        <v>68.557561939670705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56.768882504773721</v>
      </c>
      <c r="D149" s="5">
        <f t="shared" ref="D149:F149" si="85">+(D142/D$42^2)*(1-6*D143/D$42+6*D144/D$42)</f>
        <v>56.336660282551499</v>
      </c>
      <c r="E149" s="5">
        <f t="shared" si="85"/>
        <v>55.796382504773717</v>
      </c>
      <c r="F149" s="5">
        <f t="shared" si="85"/>
        <v>54.607771393662631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46.918108900779096</v>
      </c>
      <c r="D150" s="5">
        <f t="shared" ref="D150:F150" si="86">+(D142/D$42^2)*(1-6*D143/D$42-6*D144/D$42)</f>
        <v>44.761353345223526</v>
      </c>
      <c r="E150" s="5">
        <f t="shared" si="86"/>
        <v>42.065408900779119</v>
      </c>
      <c r="F150" s="5">
        <f t="shared" si="86"/>
        <v>36.134331123001317</v>
      </c>
      <c r="G150" s="18" t="s">
        <v>13</v>
      </c>
      <c r="H150" s="28"/>
      <c r="I150" s="100" t="s">
        <v>304</v>
      </c>
      <c r="J150" s="203">
        <f>+MAX(C147:F150)</f>
        <v>87.031002210332019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1731.4914674513407</v>
      </c>
      <c r="D160" s="201">
        <f t="shared" ref="D160:F160" si="95">+(D$56+D$57+  IF(   $H$25&gt;0,+D$55, -$H$25   )  )*D$42/2 + D156*(D$43-2/3*D154)</f>
        <v>1732.5414674513406</v>
      </c>
      <c r="E160" s="201">
        <f t="shared" si="95"/>
        <v>1733.8539674513406</v>
      </c>
      <c r="F160" s="201">
        <f t="shared" si="95"/>
        <v>1736.7414674513407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1683.8781640205639</v>
      </c>
      <c r="D161" s="201">
        <f t="shared" ref="D161:F161" si="96">+(D$56+D$57+   IF(   $H$25&gt;0, +D$55, -$H$25   )    )*D$42/2+D157*(D$43-2/3*D155)</f>
        <v>1684.9281640205641</v>
      </c>
      <c r="E161" s="201">
        <f t="shared" si="96"/>
        <v>1686.2406640205641</v>
      </c>
      <c r="F161" s="201">
        <f t="shared" si="96"/>
        <v>1689.1281640205639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6.0053359794362606</v>
      </c>
      <c r="D162" s="201">
        <f t="shared" ref="D162:F162" si="97">+D165*D164</f>
        <v>7.4733359794360616</v>
      </c>
      <c r="E162" s="201">
        <f t="shared" si="97"/>
        <v>9.308335979436162</v>
      </c>
      <c r="F162" s="201">
        <f t="shared" si="97"/>
        <v>13.345335979436022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50.768932548659237</v>
      </c>
      <c r="D163" s="201">
        <f t="shared" ref="D163:F163" si="98">+D166*D164</f>
        <v>57.835532548659508</v>
      </c>
      <c r="E163" s="201">
        <f t="shared" si="98"/>
        <v>66.66878254865955</v>
      </c>
      <c r="F163" s="201">
        <f t="shared" si="98"/>
        <v>86.101932548659391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1110.441</v>
      </c>
      <c r="D164" s="202">
        <f t="shared" ref="D164:F164" si="99">+D$56+D$57+  IF(   $H$25&gt;0, -$H$25+D$55, -$H$25   )</f>
        <v>1111.1410000000001</v>
      </c>
      <c r="E164" s="202">
        <f t="shared" si="99"/>
        <v>1112.0160000000001</v>
      </c>
      <c r="F164" s="202">
        <f t="shared" si="99"/>
        <v>1113.941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5.4080639848819168E-3</v>
      </c>
      <c r="D165" s="202">
        <f t="shared" ref="D165:F165" si="100">+ABS(D$42/2-(D161-D159)/D164)</f>
        <v>6.7258214568952646E-3</v>
      </c>
      <c r="E165" s="202">
        <f t="shared" si="100"/>
        <v>8.3706852953879807E-3</v>
      </c>
      <c r="F165" s="202">
        <f t="shared" si="100"/>
        <v>1.198028978144805E-2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4.5719612792268327E-2</v>
      </c>
      <c r="D166" s="202">
        <f t="shared" ref="D166:F166" si="101">+ABS(D$42/2-(D160-D158)/D164)</f>
        <v>5.2050579133214869E-2</v>
      </c>
      <c r="E166" s="202">
        <f t="shared" si="101"/>
        <v>5.9953078506657764E-2</v>
      </c>
      <c r="F166" s="202">
        <f t="shared" si="101"/>
        <v>7.7294876971634396E-2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135.99883745068789</v>
      </c>
      <c r="D169" s="17">
        <f t="shared" ref="D169:F169" si="103">+(D164/D$42^2)*(1+6*D165/D$42+6*D166/D$42)</f>
        <v>137.97319300624346</v>
      </c>
      <c r="E169" s="17">
        <f t="shared" si="103"/>
        <v>140.44113745068796</v>
      </c>
      <c r="F169" s="17">
        <f t="shared" si="103"/>
        <v>145.87061522846565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113.43486742906157</v>
      </c>
      <c r="D170" s="5">
        <f t="shared" ref="D170:F170" si="104">+(D164/D$42^2)*(1+6*D165/D$42-6*D166/D$42)</f>
        <v>112.26851187350591</v>
      </c>
      <c r="E170" s="5">
        <f t="shared" si="104"/>
        <v>110.81056742906148</v>
      </c>
      <c r="F170" s="5">
        <f t="shared" si="104"/>
        <v>107.6030896512837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133.3297992376051</v>
      </c>
      <c r="D171" s="5">
        <f t="shared" ref="D171:F171" si="105">+(D164/D$42^2)*(1-6*D165/D$42+6*D166/D$42)</f>
        <v>134.65171034871634</v>
      </c>
      <c r="E171" s="5">
        <f t="shared" si="105"/>
        <v>136.30409923760521</v>
      </c>
      <c r="F171" s="5">
        <f t="shared" si="105"/>
        <v>139.93935479316076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110.76582921597878</v>
      </c>
      <c r="D172" s="5">
        <f t="shared" ref="D172:F172" si="106">+(D164/D$42^2)*(1-6*D165/D$42-6*D166/D$42)</f>
        <v>108.94702921597877</v>
      </c>
      <c r="E172" s="5">
        <f t="shared" si="106"/>
        <v>106.67352921597875</v>
      </c>
      <c r="F172" s="5">
        <f t="shared" si="106"/>
        <v>101.67182921597879</v>
      </c>
      <c r="G172" s="18" t="s">
        <v>13</v>
      </c>
      <c r="H172" s="28"/>
      <c r="I172" s="100" t="s">
        <v>304</v>
      </c>
      <c r="J172" s="203">
        <f>+MAX(C169:F172)</f>
        <v>145.87061522846565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.75" thickBot="1">
      <c r="A175" s="252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145.87061522846565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2261.870525095901</v>
      </c>
      <c r="D184" s="201">
        <f t="shared" ref="D184:F184" si="115">+(D$56+D$57+  IF(   INDEX($F$30:$H$33,D$177,       3)&gt;0,+D$55, -INDEX($F$30:$H$33,D$177,       3)   )  )*D$42/2 + D180*(D$43-2/3*D178)</f>
        <v>2262.9205250959012</v>
      </c>
      <c r="E184" s="201">
        <f t="shared" si="115"/>
        <v>2264.2330250959012</v>
      </c>
      <c r="F184" s="201">
        <f t="shared" si="115"/>
        <v>2267.120525095901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2202.7100756475097</v>
      </c>
      <c r="D185" s="201">
        <f t="shared" ref="D185:F185" si="116">+(D$56+D$57+   IF(   INDEX($F$30:$H$33,D$177,       3)&gt;0, +D$55, -INDEX($F$30:$H$33,D$177,       3)   )    )*D$42/2+D181*(D$43-2/3*D179)</f>
        <v>2203.7600756475099</v>
      </c>
      <c r="E185" s="201">
        <f t="shared" si="116"/>
        <v>2205.0725756475099</v>
      </c>
      <c r="F185" s="201">
        <f t="shared" si="116"/>
        <v>2207.9600756475097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10.290174352490219</v>
      </c>
      <c r="D186" s="201">
        <f t="shared" ref="D186:F186" si="117">+D189*D188</f>
        <v>12.492174352489963</v>
      </c>
      <c r="E186" s="201">
        <f t="shared" si="117"/>
        <v>15.244674352490177</v>
      </c>
      <c r="F186" s="201">
        <f t="shared" si="117"/>
        <v>21.300174352490046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89.695074904098917</v>
      </c>
      <c r="D187" s="201">
        <f t="shared" ref="D187:F187" si="118">+D190*D188</f>
        <v>100.29497490409888</v>
      </c>
      <c r="E187" s="201">
        <f t="shared" si="118"/>
        <v>113.54484990409877</v>
      </c>
      <c r="F187" s="201">
        <f t="shared" si="118"/>
        <v>142.69457490409897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1451.1115</v>
      </c>
      <c r="D188" s="202">
        <f t="shared" ref="D188:F188" si="119">+D$56+D$57+  IF(   INDEX($F$30:$H$33,D$177,       3)&gt;0, -INDEX($F$30:$H$33,D$177,       3)+D$55, -INDEX($F$30:$H$33,D$177,       3)   )</f>
        <v>1451.8115</v>
      </c>
      <c r="E188" s="202">
        <f t="shared" si="119"/>
        <v>1452.6865</v>
      </c>
      <c r="F188" s="202">
        <f t="shared" si="119"/>
        <v>1454.6115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7.0912361679238423E-3</v>
      </c>
      <c r="D189" s="202">
        <f t="shared" ref="D189:F189" si="120">+ABS(D$42/2-(D185-D183)/D188)</f>
        <v>8.604542912416635E-3</v>
      </c>
      <c r="E189" s="202">
        <f t="shared" si="120"/>
        <v>1.0494125437587654E-2</v>
      </c>
      <c r="F189" s="202">
        <f t="shared" si="120"/>
        <v>1.4643204974311042E-2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6.1811290796123464E-2</v>
      </c>
      <c r="D190" s="202">
        <f t="shared" ref="D190:F190" si="121">+ABS(D$42/2-(D184-D182)/D188)</f>
        <v>6.9082642549737949E-2</v>
      </c>
      <c r="E190" s="202">
        <f t="shared" si="121"/>
        <v>7.8161977759205969E-2</v>
      </c>
      <c r="F190" s="202">
        <f t="shared" si="121"/>
        <v>9.8098065981259586E-2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183.45355539035316</v>
      </c>
      <c r="D193" s="17">
        <f t="shared" ref="D193:F193" si="123">+(D188/D$42^2)*(1+6*D189/D$42+6*D190/D$42)</f>
        <v>186.37619983479755</v>
      </c>
      <c r="E193" s="17">
        <f t="shared" si="123"/>
        <v>190.02950539035308</v>
      </c>
      <c r="F193" s="17">
        <f t="shared" si="123"/>
        <v>198.06677761257535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58.030745908486772</v>
      </c>
      <c r="L193" s="32">
        <f>+$R$193*(J194*(J195-J193)/(J193*(J195-J194)+J195*J194))</f>
        <v>187.39506048835781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334.515261383113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143.58907765519808</v>
      </c>
      <c r="D194" s="5">
        <f t="shared" ref="D194:F194" si="124">+(D188/D$42^2)*(1+6*D189/D$42-6*D190/D$42)</f>
        <v>141.80065543297582</v>
      </c>
      <c r="E194" s="5">
        <f t="shared" si="124"/>
        <v>139.5651276551981</v>
      </c>
      <c r="F194" s="5">
        <f t="shared" si="124"/>
        <v>134.64696654408692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178.88014456702416</v>
      </c>
      <c r="D195" s="5">
        <f t="shared" ref="D195:F195" si="125">+(D188/D$42^2)*(1-6*D189/D$42+6*D190/D$42)</f>
        <v>180.82412234480199</v>
      </c>
      <c r="E195" s="5">
        <f t="shared" si="125"/>
        <v>183.25409456702411</v>
      </c>
      <c r="F195" s="5">
        <f t="shared" si="125"/>
        <v>188.60003345591309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139.01566683186908</v>
      </c>
      <c r="D196" s="5">
        <f t="shared" ref="D196:F196" si="126">+(D188/D$42^2)*(1-6*D189/D$42-6*D190/D$42)</f>
        <v>136.24857794298026</v>
      </c>
      <c r="E196" s="5">
        <f t="shared" si="126"/>
        <v>132.78971683186913</v>
      </c>
      <c r="F196" s="5">
        <f t="shared" si="126"/>
        <v>125.18022238742466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112.63461111111113</v>
      </c>
      <c r="D197" s="5">
        <f t="shared" ref="D197:F197" si="127">AVERAGE(D196,D193)-$C$14*D$43</f>
        <v>112.71238888888891</v>
      </c>
      <c r="E197" s="5">
        <f t="shared" si="127"/>
        <v>112.80961111111111</v>
      </c>
      <c r="F197" s="5">
        <f t="shared" si="127"/>
        <v>113.02350000000001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181.16684997868867</v>
      </c>
      <c r="D198" s="237">
        <f t="shared" ref="D198:F198" si="128">(D193+MAX(D194,D195))/2</f>
        <v>183.60016108979977</v>
      </c>
      <c r="E198" s="237">
        <f t="shared" si="128"/>
        <v>186.6417999786886</v>
      </c>
      <c r="F198" s="237">
        <f t="shared" si="128"/>
        <v>193.33340553424421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937.04956781250019</v>
      </c>
      <c r="D204" s="16">
        <f>D197*(D$42^2-(D$39+D$46)^2)</f>
        <v>937.69663031250025</v>
      </c>
      <c r="E204" s="16">
        <f>E197*(E$42^2-(E$39+E$46)^2)</f>
        <v>938.50545843750012</v>
      </c>
      <c r="F204" s="16">
        <f>F197*(F$42^2-(F$39+F$46)^2)</f>
        <v>940.28488031250015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1228.7031082100345</v>
      </c>
      <c r="D205" s="16">
        <f>+D207*1000*D$203*D$46</f>
        <v>1228.7031082100345</v>
      </c>
      <c r="E205" s="16">
        <f t="shared" ref="E205" si="130">+E207*1000*E$203*E$46</f>
        <v>1228.7031082100345</v>
      </c>
      <c r="F205" s="16">
        <f t="shared" ref="F205" si="131">+F207*1000*F$203*F$46</f>
        <v>1228.7031082100345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0.87370589073426586</v>
      </c>
      <c r="D206" s="16">
        <f>+(D197*(D42^2-(D$39+D$46)^2)/  ( D203  ) /D46)/1000</f>
        <v>0.87430921241258774</v>
      </c>
      <c r="E206" s="16">
        <f>+(E197*(E42^2-(E$39+E$46)^2)/  ( E203  ) /E46)/1000</f>
        <v>0.87506336451048972</v>
      </c>
      <c r="F206" s="16">
        <f>+(F197*(F42^2-(F$39+F$46)^2)/  ( F203  ) /F46)/1000</f>
        <v>0.87672249912587441</v>
      </c>
      <c r="G206" s="24" t="s">
        <v>32</v>
      </c>
      <c r="H206" s="28"/>
      <c r="I206" s="162" t="s">
        <v>324</v>
      </c>
      <c r="J206" s="203">
        <f>+MAX(C206:F206)</f>
        <v>0.87672249912587441</v>
      </c>
      <c r="K206" t="s">
        <v>308</v>
      </c>
      <c r="L206" s="203">
        <f>+MIN(C207:F207)</f>
        <v>1.14564392373896</v>
      </c>
    </row>
    <row r="207" spans="1:19">
      <c r="A207" s="183"/>
      <c r="B207" s="1" t="s">
        <v>129</v>
      </c>
      <c r="C207" s="16">
        <f>+MIN(C208:C210)</f>
        <v>1.14564392373896</v>
      </c>
      <c r="D207" s="16">
        <f>+MIN(D208:D210)</f>
        <v>1.14564392373896</v>
      </c>
      <c r="E207" s="16">
        <f t="shared" ref="E207:F207" si="132">+MIN(E208:E210)</f>
        <v>1.14564392373896</v>
      </c>
      <c r="F207" s="16">
        <f t="shared" si="132"/>
        <v>1.14564392373896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1.14564392373896</v>
      </c>
      <c r="D208" s="16">
        <f>0.75*SQRT($C$16)/3</f>
        <v>1.14564392373896</v>
      </c>
      <c r="E208" s="16">
        <f t="shared" ref="E208:F208" si="133">0.75*SQRT($C$16)/3</f>
        <v>1.14564392373896</v>
      </c>
      <c r="F208" s="16">
        <f t="shared" si="133"/>
        <v>1.14564392373896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1.7528352033206087</v>
      </c>
      <c r="D209" s="16">
        <f>0.75*0.17*(1+2/1)*SQRT($C$16)</f>
        <v>1.7528352033206087</v>
      </c>
      <c r="E209" s="16">
        <f t="shared" ref="E209:F209" si="134">0.75*0.17*(1+2/1)*SQRT($C$16)</f>
        <v>1.7528352033206087</v>
      </c>
      <c r="F209" s="16">
        <f t="shared" si="134"/>
        <v>1.7528352033206087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1.6943032137623093</v>
      </c>
      <c r="D210" s="16">
        <f>0.75*SQRT($C$16)*0.083*(40*D$46/(D$203)+2)</f>
        <v>1.6943032137623093</v>
      </c>
      <c r="E210" s="16">
        <f t="shared" ref="E210:F210" si="135">0.75*SQRT($C$16)*0.083*(40*E$46/(E$203)+2)</f>
        <v>1.6943032137623093</v>
      </c>
      <c r="F210" s="16">
        <f t="shared" si="135"/>
        <v>1.6943032137623093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458.59700869086106</v>
      </c>
      <c r="D212" s="16">
        <f t="shared" ref="D212:F212" si="136">+(D$198*D$42-$C$12*D$40-$C$14*D$47)*(D$42/2-D$39/2-D$46)</f>
        <v>465.34944702419443</v>
      </c>
      <c r="E212" s="16">
        <f t="shared" si="136"/>
        <v>473.78999494086088</v>
      </c>
      <c r="F212" s="16">
        <f t="shared" si="136"/>
        <v>492.3592003575277</v>
      </c>
      <c r="G212" s="23" t="s">
        <v>41</v>
      </c>
      <c r="H212" s="28"/>
      <c r="I212" s="162" t="s">
        <v>323</v>
      </c>
      <c r="J212" s="203">
        <f>+MAX(C212:F212)</f>
        <v>492.3592003575277</v>
      </c>
      <c r="K212" t="s">
        <v>308</v>
      </c>
      <c r="L212" s="4">
        <f>+MIN(C213:F213)</f>
        <v>569.67144107919785</v>
      </c>
    </row>
    <row r="213" spans="1:13">
      <c r="A213" s="183"/>
      <c r="B213" s="1" t="s">
        <v>127</v>
      </c>
      <c r="C213" s="16">
        <f>+C215*1000*C$42*C$46</f>
        <v>569.67144107919785</v>
      </c>
      <c r="D213" s="16">
        <f t="shared" ref="D213:F213" si="137">+D215*1000*D$42*D$46</f>
        <v>569.67144107919785</v>
      </c>
      <c r="E213" s="16">
        <f t="shared" si="137"/>
        <v>569.67144107919785</v>
      </c>
      <c r="F213" s="16">
        <f t="shared" si="137"/>
        <v>569.67144107919785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0.47035590634960106</v>
      </c>
      <c r="D214" s="16">
        <f>+D$212/($C$42*$C$46)/1000</f>
        <v>0.47728148412737886</v>
      </c>
      <c r="E214" s="16">
        <f>+E$212/($C$42*$C$46)/1000</f>
        <v>0.48593845634960087</v>
      </c>
      <c r="F214" s="16">
        <f>+F$212/($C$42*$C$46)/1000</f>
        <v>0.50498379523848991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0.58427840110686968</v>
      </c>
      <c r="D215" s="16">
        <f t="shared" ref="D215:F215" si="138">+SQRT($C$16)*0.17*0.75</f>
        <v>0.58427840110686968</v>
      </c>
      <c r="E215" s="16">
        <f t="shared" si="138"/>
        <v>0.58427840110686968</v>
      </c>
      <c r="F215" s="16">
        <f t="shared" si="138"/>
        <v>0.58427840110686968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318.12552044614023</v>
      </c>
      <c r="D219" s="16">
        <f t="shared" ref="D219:E219" si="139">+(D193-D$40*$C$12-(D$47)*$C$14)*D$42  *((D$42-D$39)/2)^2/2</f>
        <v>324.97546836280674</v>
      </c>
      <c r="E219" s="16">
        <f t="shared" si="139"/>
        <v>333.53790325864003</v>
      </c>
      <c r="F219" s="16">
        <f>+(F193-F$40*$C$12-(F$47)*$C$14)*F$42  *((F$42-F$39)/2)^2/2</f>
        <v>352.37526002947345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2.7445619615017996E-3</v>
      </c>
      <c r="D220" s="249">
        <f>0.85*$C$16/$C$15*(1-SQRT((1-2*$C$15/0.85/$C$16*((D219/D$42/D$46^2)/1000)/0.9/$C$15)))</f>
        <v>2.8057454446277609E-3</v>
      </c>
      <c r="E220" s="249">
        <f>0.85*$C$16/$C$15*(1-SQRT((1-2*$C$15/0.85/$C$16*((E219/E$42/E$46^2)/1000)/0.9/$C$15)))</f>
        <v>2.8823576730143473E-3</v>
      </c>
      <c r="F220" s="249">
        <f>0.85*$C$16/$C$15*(1-SQRT((1-2*$C$15/0.85/$C$16*((F219/F$42/F$46^2)/1000)/0.9/$C$15)))</f>
        <v>3.0514283021302506E-3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32.9347435380216</v>
      </c>
      <c r="D222" s="16">
        <f>+IF(D221&gt;D220,D$42*D$40*100*100*D221,D$42*D40*100*100*D220)</f>
        <v>33.668945335533138</v>
      </c>
      <c r="E222" s="16">
        <f>+IF(E221&gt;E220,E$42*E$40*100*100*E221,E$42*E40*100*100*E220)</f>
        <v>34.588292076172173</v>
      </c>
      <c r="F222" s="16">
        <f>+IF(F221&gt;F220,F$42*F$40*100*100*F221,F$42*F40*100*100*F220)</f>
        <v>36.617139625563013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.7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221.95598958333332</v>
      </c>
      <c r="D228" s="16">
        <f t="shared" ref="D228:F228" si="141">+(($H$31-D$57)/(D42)*   ((D42-D39)/2)^2)/2</f>
        <v>221.77369791666663</v>
      </c>
      <c r="E228" s="16">
        <f t="shared" si="141"/>
        <v>221.54583333333329</v>
      </c>
      <c r="F228" s="16">
        <f t="shared" si="141"/>
        <v>221.04453124999998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1.895311029442906E-3</v>
      </c>
      <c r="D229" s="249">
        <f>0.85*$C$16/$C$15*(1-SQRT((1-2*$C$15/0.85/$C$16*((D228/D$42/D$46^2)/1000)/0.9/$C$15)))</f>
        <v>1.8937181193556935E-3</v>
      </c>
      <c r="E229" s="249">
        <f>0.85*$C$16/$C$15*(1-SQRT((1-2*$C$15/0.85/$C$16*((E228/E$42/E$46^2)/1000)/0.9/$C$15)))</f>
        <v>1.8917270696146426E-3</v>
      </c>
      <c r="F229" s="249">
        <f>0.85*$C$16/$C$15*(1-SQRT((1-2*$C$15/0.85/$C$16*((F228/F$42/F$46^2)/1000)/0.9/$C$15)))</f>
        <v>1.8873471037782886E-3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22.743732353314876</v>
      </c>
      <c r="D231" s="16">
        <f>+IF(D230&gt;D229,D$42*D$40*100*100*D230,D$42*D40*100*100*D229)</f>
        <v>22.724617432268325</v>
      </c>
      <c r="E231" s="16">
        <f>+IF(E230&gt;E229,E$42*E$40*100*100*E230,E$42*E40*100*100*E229)</f>
        <v>22.700724835375713</v>
      </c>
      <c r="F231" s="16">
        <f>+IF(F230&gt;F229,F$42*F$40*100*100*F230,F$42*F40*100*100*F229)</f>
        <v>22.648165245339467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.7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383" t="s">
        <v>150</v>
      </c>
      <c r="L237" s="383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.75" thickBot="1">
      <c r="A258" s="252"/>
      <c r="H258" s="28"/>
      <c r="I258" s="100"/>
    </row>
    <row r="259" spans="1:10" ht="15.75" thickBot="1">
      <c r="A259" s="200" t="s">
        <v>161</v>
      </c>
      <c r="B259" s="364" t="s">
        <v>162</v>
      </c>
      <c r="C259" s="365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21</v>
      </c>
      <c r="D265" s="1">
        <f>+$C$16</f>
        <v>21</v>
      </c>
      <c r="E265" s="1">
        <f>+$C$16</f>
        <v>21</v>
      </c>
      <c r="F265" s="1">
        <f>+$C$16</f>
        <v>21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21538105.766292445</v>
      </c>
      <c r="D267" s="3">
        <f>4700*SQRT(D265)*1000</f>
        <v>21538105.766292445</v>
      </c>
      <c r="E267" s="3">
        <f>4700*SQRT(E265)*1000</f>
        <v>21538105.766292445</v>
      </c>
      <c r="F267" s="3">
        <f>4700*SQRT(F265)*1000</f>
        <v>21538105.766292445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252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28044.408549859952</v>
      </c>
      <c r="D276" s="3">
        <f>0.4*D$267*D$268/(1+D$275)</f>
        <v>28044.408549859952</v>
      </c>
      <c r="E276" s="3">
        <f>0.4*E$267*E$268/(1+E$275)</f>
        <v>28044.408549859952</v>
      </c>
      <c r="F276" s="3">
        <f>0.4*F$267*F$268/(1+F$275)</f>
        <v>28044.408549859952</v>
      </c>
      <c r="G276" s="18" t="s">
        <v>177</v>
      </c>
      <c r="H276" s="28"/>
      <c r="I276" s="100"/>
      <c r="J276" s="203"/>
    </row>
    <row r="277" spans="1:10" ht="15.75" thickBot="1">
      <c r="A277" s="252"/>
      <c r="H277" s="28"/>
      <c r="I277" s="100"/>
      <c r="J277" s="203"/>
    </row>
    <row r="278" spans="1:10" ht="15.75" thickBot="1">
      <c r="A278" s="200" t="s">
        <v>178</v>
      </c>
      <c r="B278" s="364" t="s">
        <v>179</v>
      </c>
      <c r="C278" s="365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7462.9656965346257</v>
      </c>
      <c r="D280" s="3">
        <f>PI()^2*D276/(D272*D264)^2</f>
        <v>6531.0657136166692</v>
      </c>
      <c r="E280" s="3">
        <f>PI()^2*E276/(E272*E264)^2</f>
        <v>5592.6523954427439</v>
      </c>
      <c r="F280" s="3">
        <f>PI()^2*F276/(F272*F264)^2</f>
        <v>4126.4655823705571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1.2474415172571494</v>
      </c>
      <c r="D282" s="16">
        <f t="shared" ref="D282:F282" si="158">+IF(D240&lt;0,D$279/(1-ABS(D240)/(0.75*D$280)),"No Aplica")</f>
        <v>1.2935063280468628</v>
      </c>
      <c r="E282" s="16">
        <f t="shared" si="158"/>
        <v>1.3611717605301445</v>
      </c>
      <c r="F282" s="16">
        <f t="shared" si="158"/>
        <v>1.5641704562169674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1.037030337789878</v>
      </c>
      <c r="D284" s="16">
        <f t="shared" ref="D284:F284" si="160">+IF(D250&lt;0,D$279/(1-ABS(D250)/(0.75*D$280)),"No Aplica")</f>
        <v>1.0428051978242132</v>
      </c>
      <c r="E284" s="16">
        <f t="shared" si="160"/>
        <v>1.0507439609807734</v>
      </c>
      <c r="F284" s="16">
        <f t="shared" si="160"/>
        <v>1.0712589816867721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1.2280505040255214</v>
      </c>
      <c r="D285" s="16">
        <f t="shared" ref="D285:F285" si="161">+IF(D255&lt;0,D$279/(1-ABS(D255)/(0.75*D$280)),"No Aplica")</f>
        <v>1.2697500570131488</v>
      </c>
      <c r="E285" s="16">
        <f t="shared" si="161"/>
        <v>1.3305795076750957</v>
      </c>
      <c r="F285" s="16">
        <f t="shared" si="161"/>
        <v>1.510096748363974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140.44403163741319</v>
      </c>
      <c r="D289" s="5">
        <f t="shared" ref="D289:F289" si="162">+IF(D240&lt;0,D$282*D$242,D242)</f>
        <v>155.67373577572587</v>
      </c>
      <c r="E289" s="5">
        <f t="shared" si="162"/>
        <v>177.02835486984569</v>
      </c>
      <c r="F289" s="5">
        <f t="shared" si="162"/>
        <v>236.82840045302549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164.49845668288012</v>
      </c>
      <c r="D293" s="5">
        <f t="shared" ref="D293:F293" si="164">+IF(D250&lt;0,D$284*D$252,D252)</f>
        <v>176.82238712265701</v>
      </c>
      <c r="E293" s="5">
        <f t="shared" si="164"/>
        <v>192.53694560286311</v>
      </c>
      <c r="F293" s="5">
        <f t="shared" si="164"/>
        <v>228.52380754498574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192.77930910971168</v>
      </c>
      <c r="D295" s="5">
        <f t="shared" ref="D295:F295" si="165">+IF(D255&lt;0,D$285*D257,D257)</f>
        <v>213.07187555002776</v>
      </c>
      <c r="E295" s="5">
        <f t="shared" si="165"/>
        <v>241.28583759955814</v>
      </c>
      <c r="F295" s="5">
        <f t="shared" si="165"/>
        <v>318.79798912802255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11.254120208878058</v>
      </c>
      <c r="D298" s="7">
        <f>+D$241*D$264^3/(3*D$276)*1000</f>
        <v>13.746832389301993</v>
      </c>
      <c r="E298" s="7">
        <f>+E$241*E$264^3/(3*E$276)*1000</f>
        <v>17.34810240468445</v>
      </c>
      <c r="F298" s="7">
        <f>+F$241*F$264^3/(3*F$276)*1000</f>
        <v>27.372305411063913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7.6367194266148646</v>
      </c>
      <c r="D299" s="7">
        <f>+D$246*D$264^3/(3*D$276)*1000</f>
        <v>9.3282015842504187</v>
      </c>
      <c r="E299" s="7">
        <f>+E$246*E$264^3/(3*E$276)*1000</f>
        <v>11.771918923013278</v>
      </c>
      <c r="F299" s="7">
        <f>+F$246*F$264^3/(3*F$276)*1000</f>
        <v>18.574052223025433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15.856189297187999</v>
      </c>
      <c r="D300" s="7">
        <f>+D$251*D$264^3/(3*D$276)*1000</f>
        <v>19.368228929129025</v>
      </c>
      <c r="E300" s="7">
        <f>+E$251*E$264^3/(3*E$276)*1000</f>
        <v>24.442141239852777</v>
      </c>
      <c r="F300" s="7">
        <f>+F$251*F$264^3/(3*F$276)*1000</f>
        <v>38.565471848779993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15.691795787887312</v>
      </c>
      <c r="D301" s="7">
        <f>+D$256*D$264^3/(3*D$276)*1000</f>
        <v>19.167423359586333</v>
      </c>
      <c r="E301" s="7">
        <f>+E$256*E$264^3/(3*E$276)*1000</f>
        <v>24.188730455084013</v>
      </c>
      <c r="F301" s="7">
        <f>+F$256*F$264^3/(3*F$276)*1000</f>
        <v>38.165633455315422</v>
      </c>
      <c r="G301" s="18" t="s">
        <v>183</v>
      </c>
      <c r="H301" s="28"/>
      <c r="I301" s="100"/>
      <c r="J301" s="203"/>
    </row>
    <row r="302" spans="1:13" ht="15.7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12.495010757229162</v>
      </c>
      <c r="D304" s="16">
        <f t="shared" ref="D304:E304" si="166">+IF(D240&lt;0,-D$240*D$298/1000,"Noaplica")</f>
        <v>15.279068074245979</v>
      </c>
      <c r="E304" s="16">
        <f t="shared" si="166"/>
        <v>19.307761400420009</v>
      </c>
      <c r="F304" s="16">
        <f>+IF(F240&lt;0,-F$240*F$298/1000,"Noaplica")</f>
        <v>30.554637010459615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3.1691131300717772</v>
      </c>
      <c r="D306" s="16">
        <f t="shared" ref="D306:F306" si="168">+IF(D250&lt;0,-D$250*D$300/1000,"No aplica")</f>
        <v>3.8942923178642563</v>
      </c>
      <c r="E306" s="16">
        <f t="shared" si="168"/>
        <v>4.9511467823920174</v>
      </c>
      <c r="F306" s="16">
        <f t="shared" si="168"/>
        <v>7.9393194276209424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16.310232997581636</v>
      </c>
      <c r="D307" s="16">
        <f t="shared" ref="D307:F307" si="169">+IF(D255&lt;0,-D$255*D$301/1000,"No aplica")</f>
        <v>19.945841173354172</v>
      </c>
      <c r="E307" s="16">
        <f t="shared" si="169"/>
        <v>25.207354177643282</v>
      </c>
      <c r="F307" s="16">
        <f t="shared" si="169"/>
        <v>39.898792118971485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152.93904239464234</v>
      </c>
      <c r="D310" s="5">
        <f t="shared" ref="D310:E310" si="170">+IF(D$274&lt;&gt;"OK",      IF(D240&lt;0,D289+D304,D242),D242)</f>
        <v>170.95280384997184</v>
      </c>
      <c r="E310" s="5">
        <f t="shared" si="170"/>
        <v>196.33611627026571</v>
      </c>
      <c r="F310" s="5">
        <f>+IF(F$274&lt;&gt;"OK",      IF(F240&lt;0,F289+F304,F242),F242)</f>
        <v>267.3830374634851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167.66756981295188</v>
      </c>
      <c r="D312" s="5">
        <f t="shared" ref="D312:F312" si="172">+IF(D$274&lt;&gt;"OK",      IF(D250&lt;0,D293+D306,D252), D252)</f>
        <v>180.71667944052126</v>
      </c>
      <c r="E312" s="5">
        <f t="shared" si="172"/>
        <v>197.48809238525513</v>
      </c>
      <c r="F312" s="5">
        <f t="shared" si="172"/>
        <v>236.46312697260669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209.08954210729331</v>
      </c>
      <c r="D313" s="5">
        <f t="shared" ref="D313:F313" si="173">+IF(D$274&lt;&gt;"OK",      IF(D255&lt;0,D295+D307,D257), D257)</f>
        <v>233.01771672338194</v>
      </c>
      <c r="E313" s="5">
        <f t="shared" si="173"/>
        <v>266.49319177720145</v>
      </c>
      <c r="F313" s="5">
        <f t="shared" si="173"/>
        <v>358.69678124699402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57.041994544558953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60.804028178824488</v>
      </c>
      <c r="E326" s="220">
        <f t="shared" si="174"/>
        <v>66.33312008764355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83.671474308960939</v>
      </c>
      <c r="G326" s="123" t="s">
        <v>143</v>
      </c>
      <c r="H326" s="28"/>
      <c r="I326" s="220">
        <f>+IFERROR(SQRT((1-2*$C$15/0.85/$C$16*((MAX(C310:F310)/0.9/F$39/(F$39*0.8-F$45)^2)/1000)/$C$15)),
"Aumentar D")</f>
        <v>0.60803069666427756</v>
      </c>
    </row>
    <row r="327" spans="1:39" ht="17.25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0.43825081311133379</v>
      </c>
      <c r="J327" s="203"/>
    </row>
    <row r="328" spans="1:39" ht="17.25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35.997793565604589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38.796961212451748</v>
      </c>
      <c r="E328" s="220">
        <f t="shared" si="176"/>
        <v>42.504801844233342</v>
      </c>
      <c r="F328" s="220">
        <f t="shared" si="176"/>
        <v>51.680328310725955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67.260990893853119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72.924243205331265</v>
      </c>
      <c r="E329" s="220">
        <f t="shared" si="177"/>
        <v>81.471928225341301</v>
      </c>
      <c r="F329" s="220">
        <f t="shared" si="177"/>
        <v>111.49833626910255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67.260990893853119</v>
      </c>
      <c r="D331" s="220">
        <f t="shared" ref="D331:F331" si="179">+MAX(D326:D330)</f>
        <v>72.924243205331265</v>
      </c>
      <c r="E331" s="220">
        <f t="shared" si="179"/>
        <v>81.471928225341301</v>
      </c>
      <c r="F331" s="220">
        <f t="shared" si="179"/>
        <v>111.49833626910255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 t="str">
        <f>IF($G$336*VLOOKUP(F335,$K$238:$L$243,2,FALSE)&lt;F331,"verificar",($G$336*VLOOKUP(F335,$K$238:$L$243,2,FALSE)))</f>
        <v>verificar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24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4.5814892864851152E-2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 t="e">
        <f>+F334/F332</f>
        <v>#VALUE!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116.85568022137392</v>
      </c>
      <c r="D345" s="5">
        <f>0.75*1/6*SQRT(D$265)*0.8*D$263*D$263*1000</f>
        <v>114.564392373896</v>
      </c>
      <c r="E345" s="5">
        <f>0.75*1/6*SQRT(E$265)*0.8*E$263*E$263*1000</f>
        <v>114.564392373896</v>
      </c>
      <c r="F345" s="5">
        <f>0.75*1/6*SQRT(F$265)*0.8*F$263*F$263*1000</f>
        <v>114.564392373896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221.40208022137392</v>
      </c>
      <c r="D347" s="7">
        <f>+D345+D346</f>
        <v>219.110792373896</v>
      </c>
      <c r="E347" s="7">
        <f>+E345+E346</f>
        <v>219.110792373896</v>
      </c>
      <c r="F347" s="7">
        <f>+F345+F346</f>
        <v>219.110792373896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219.110792373896</v>
      </c>
      <c r="O348">
        <f>+(6/8*2.54)^2*PI()/4</f>
        <v>2.8502295699234246</v>
      </c>
    </row>
    <row r="349" spans="1:15" ht="15.7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84" t="s">
        <v>246</v>
      </c>
      <c r="B350" s="387"/>
      <c r="C350" s="388"/>
      <c r="D350" s="388"/>
      <c r="E350" s="388"/>
      <c r="F350" s="388"/>
      <c r="G350" s="389"/>
      <c r="H350" s="28"/>
    </row>
    <row r="351" spans="1:15">
      <c r="A351" s="385"/>
      <c r="B351" s="390"/>
      <c r="C351" s="376"/>
      <c r="D351" s="376"/>
      <c r="E351" s="376"/>
      <c r="F351" s="376"/>
      <c r="G351" s="391"/>
      <c r="H351" s="28"/>
    </row>
    <row r="352" spans="1:15">
      <c r="A352" s="385"/>
      <c r="B352" s="390"/>
      <c r="C352" s="376"/>
      <c r="D352" s="376"/>
      <c r="E352" s="376"/>
      <c r="F352" s="376"/>
      <c r="G352" s="391"/>
      <c r="H352" s="28"/>
    </row>
    <row r="353" spans="1:8">
      <c r="A353" s="385"/>
      <c r="B353" s="390"/>
      <c r="C353" s="376"/>
      <c r="D353" s="376"/>
      <c r="E353" s="376"/>
      <c r="F353" s="376"/>
      <c r="G353" s="391"/>
      <c r="H353" s="28"/>
    </row>
    <row r="354" spans="1:8">
      <c r="A354" s="385"/>
      <c r="B354" s="390"/>
      <c r="C354" s="376"/>
      <c r="D354" s="376"/>
      <c r="E354" s="376"/>
      <c r="F354" s="376"/>
      <c r="G354" s="391"/>
      <c r="H354" s="28"/>
    </row>
    <row r="355" spans="1:8">
      <c r="A355" s="385"/>
      <c r="B355" s="390"/>
      <c r="C355" s="376"/>
      <c r="D355" s="376"/>
      <c r="E355" s="376"/>
      <c r="F355" s="376"/>
      <c r="G355" s="391"/>
      <c r="H355" s="28"/>
    </row>
    <row r="356" spans="1:8">
      <c r="A356" s="385"/>
      <c r="B356" s="390"/>
      <c r="C356" s="376"/>
      <c r="D356" s="376"/>
      <c r="E356" s="376"/>
      <c r="F356" s="376"/>
      <c r="G356" s="391"/>
      <c r="H356" s="28"/>
    </row>
    <row r="357" spans="1:8">
      <c r="A357" s="385"/>
      <c r="B357" s="390"/>
      <c r="C357" s="376"/>
      <c r="D357" s="376"/>
      <c r="E357" s="376"/>
      <c r="F357" s="376"/>
      <c r="G357" s="391"/>
      <c r="H357" s="28"/>
    </row>
    <row r="358" spans="1:8">
      <c r="A358" s="385"/>
      <c r="B358" s="390"/>
      <c r="C358" s="376"/>
      <c r="D358" s="376"/>
      <c r="E358" s="376"/>
      <c r="F358" s="376"/>
      <c r="G358" s="391"/>
      <c r="H358" s="28"/>
    </row>
    <row r="359" spans="1:8">
      <c r="A359" s="385"/>
      <c r="B359" s="390"/>
      <c r="C359" s="376"/>
      <c r="D359" s="376"/>
      <c r="E359" s="376"/>
      <c r="F359" s="376"/>
      <c r="G359" s="391"/>
      <c r="H359" s="28"/>
    </row>
    <row r="360" spans="1:8">
      <c r="A360" s="385"/>
      <c r="B360" s="390"/>
      <c r="C360" s="376"/>
      <c r="D360" s="376"/>
      <c r="E360" s="376"/>
      <c r="F360" s="376"/>
      <c r="G360" s="391"/>
      <c r="H360" s="28"/>
    </row>
    <row r="361" spans="1:8">
      <c r="A361" s="385"/>
      <c r="B361" s="390"/>
      <c r="C361" s="376"/>
      <c r="D361" s="376"/>
      <c r="E361" s="376"/>
      <c r="F361" s="376"/>
      <c r="G361" s="391"/>
      <c r="H361" s="28"/>
    </row>
    <row r="362" spans="1:8">
      <c r="A362" s="385"/>
      <c r="B362" s="390"/>
      <c r="C362" s="376"/>
      <c r="D362" s="376"/>
      <c r="E362" s="376"/>
      <c r="F362" s="376"/>
      <c r="G362" s="391"/>
      <c r="H362" s="28"/>
    </row>
    <row r="363" spans="1:8">
      <c r="A363" s="385"/>
      <c r="B363" s="390"/>
      <c r="C363" s="376"/>
      <c r="D363" s="376"/>
      <c r="E363" s="376"/>
      <c r="F363" s="376"/>
      <c r="G363" s="391"/>
      <c r="H363" s="28"/>
    </row>
    <row r="364" spans="1:8">
      <c r="A364" s="385"/>
      <c r="B364" s="390"/>
      <c r="C364" s="376"/>
      <c r="D364" s="376"/>
      <c r="E364" s="376"/>
      <c r="F364" s="376"/>
      <c r="G364" s="391"/>
      <c r="H364" s="28"/>
    </row>
    <row r="365" spans="1:8">
      <c r="A365" s="385"/>
      <c r="B365" s="390"/>
      <c r="C365" s="376"/>
      <c r="D365" s="376"/>
      <c r="E365" s="376"/>
      <c r="F365" s="376"/>
      <c r="G365" s="391"/>
      <c r="H365" s="28"/>
    </row>
    <row r="366" spans="1:8">
      <c r="A366" s="385"/>
      <c r="B366" s="390"/>
      <c r="C366" s="376"/>
      <c r="D366" s="376"/>
      <c r="E366" s="376"/>
      <c r="F366" s="376"/>
      <c r="G366" s="391"/>
      <c r="H366" s="28"/>
    </row>
    <row r="367" spans="1:8">
      <c r="A367" s="385"/>
      <c r="B367" s="390"/>
      <c r="C367" s="376"/>
      <c r="D367" s="376"/>
      <c r="E367" s="376"/>
      <c r="F367" s="376"/>
      <c r="G367" s="391"/>
      <c r="H367" s="28"/>
    </row>
    <row r="368" spans="1:8">
      <c r="A368" s="385"/>
      <c r="B368" s="390"/>
      <c r="C368" s="376"/>
      <c r="D368" s="376"/>
      <c r="E368" s="376"/>
      <c r="F368" s="376"/>
      <c r="G368" s="391"/>
      <c r="H368" s="28"/>
    </row>
    <row r="369" spans="1:18" ht="121.15" customHeight="1" thickBot="1">
      <c r="A369" s="386"/>
      <c r="B369" s="392"/>
      <c r="C369" s="393"/>
      <c r="D369" s="393"/>
      <c r="E369" s="393"/>
      <c r="F369" s="393"/>
      <c r="G369" s="394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.75" thickBot="1">
      <c r="A372" s="99"/>
      <c r="B372" s="180"/>
      <c r="C372" s="180"/>
      <c r="D372" s="180"/>
      <c r="E372" s="180"/>
      <c r="F372" s="180"/>
      <c r="G372" s="180"/>
    </row>
    <row r="373" spans="1:18" ht="15.75" thickBot="1">
      <c r="A373" s="99"/>
      <c r="B373" s="180"/>
      <c r="C373" s="180"/>
      <c r="D373" s="180"/>
      <c r="E373" s="180"/>
      <c r="F373" s="180"/>
      <c r="G373" s="180"/>
      <c r="O373" s="395" t="s">
        <v>247</v>
      </c>
      <c r="P373" s="396"/>
      <c r="Q373" s="396"/>
      <c r="R373" s="397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95" t="str">
        <f>"DIAGRAMA PEDESTAL "&amp;C38</f>
        <v>DIAGRAMA PEDESTAL 0.3</v>
      </c>
      <c r="K375" s="397"/>
      <c r="L375" s="309" t="s">
        <v>251</v>
      </c>
      <c r="M375" s="310"/>
      <c r="N375" s="111"/>
      <c r="O375" s="395" t="str">
        <f>"DIAGRAMA PEDESTAL " &amp;D38</f>
        <v>DIAGRAMA PEDESTAL 0.5</v>
      </c>
      <c r="P375" s="397"/>
      <c r="Q375" s="395" t="s">
        <v>251</v>
      </c>
      <c r="R375" s="397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 t="str">
        <f>+F334</f>
        <v>verificar</v>
      </c>
      <c r="G377" s="118" t="s">
        <v>257</v>
      </c>
      <c r="J377" s="113">
        <v>0</v>
      </c>
      <c r="K377" s="114">
        <f>+C388</f>
        <v>5781.2580000000007</v>
      </c>
      <c r="L377" s="115">
        <f>+C310</f>
        <v>152.93904239464234</v>
      </c>
      <c r="M377" s="115">
        <f>+C322</f>
        <v>-1110.261</v>
      </c>
      <c r="N377" s="111"/>
      <c r="O377" s="113">
        <v>0</v>
      </c>
      <c r="P377" s="114">
        <f>+D388</f>
        <v>5781.2580000000007</v>
      </c>
      <c r="Q377" s="115">
        <f>+D310</f>
        <v>170.95280384997184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 t="e">
        <f>+F377/2</f>
        <v>#VALUE!</v>
      </c>
      <c r="G378" s="118" t="s">
        <v>257</v>
      </c>
      <c r="J378" s="116">
        <f>+C385</f>
        <v>497.4723568544722</v>
      </c>
      <c r="K378" s="116">
        <f>+C384</f>
        <v>1008.0545196984915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497.4723568544722</v>
      </c>
      <c r="P378" s="114">
        <f>+D384</f>
        <v>1008.0545196984915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441.46619999999996</v>
      </c>
      <c r="K379" s="118">
        <v>0</v>
      </c>
      <c r="L379" s="115">
        <f>+C313</f>
        <v>209.08954210729331</v>
      </c>
      <c r="M379" s="115">
        <f>+C325</f>
        <v>-1039.4115000000002</v>
      </c>
      <c r="N379" s="111"/>
      <c r="O379" s="117">
        <f>+D390</f>
        <v>441.46619999999996</v>
      </c>
      <c r="P379" s="114">
        <v>0</v>
      </c>
      <c r="Q379" s="115">
        <f>+D313</f>
        <v>233.01771672338194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167.66756981295188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180.71667944052126</v>
      </c>
      <c r="R380" s="115">
        <f>+D324</f>
        <v>-201.066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95" t="str">
        <f xml:space="preserve"> "DIAGRAMA PEDESTAL " &amp;E38</f>
        <v>DIAGRAMA PEDESTAL 0.75</v>
      </c>
      <c r="K382" s="397"/>
      <c r="L382" s="309" t="s">
        <v>251</v>
      </c>
      <c r="M382" s="310"/>
      <c r="N382" s="111"/>
      <c r="O382" s="395" t="str">
        <f>"DIAGRAMA PEDESTAL " &amp;F38</f>
        <v>DIAGRAMA PEDESTAL 1.3</v>
      </c>
      <c r="P382" s="397"/>
      <c r="Q382" s="395" t="s">
        <v>251</v>
      </c>
      <c r="R382" s="397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1008.0545196984915</v>
      </c>
      <c r="D384" s="116">
        <f>0.65*(0.85*D265*10*D376*D382+D378*D383-D378*D266*10)/100</f>
        <v>1008.0545196984915</v>
      </c>
      <c r="E384" s="116">
        <f>0.65*(0.85*E265*10*E376*E382+E378*E383-E378*E266*10)/100</f>
        <v>1008.0545196984915</v>
      </c>
      <c r="F384" s="116" t="e">
        <f>0.65*(0.85*F265*10*F376*F382+F378*F383-F378*F266*10)/100</f>
        <v>#VALUE!</v>
      </c>
      <c r="G384" s="118" t="s">
        <v>41</v>
      </c>
      <c r="J384" s="113">
        <v>0</v>
      </c>
      <c r="K384" s="114">
        <f>+E388</f>
        <v>5781.2580000000007</v>
      </c>
      <c r="L384" s="115">
        <f>+E310</f>
        <v>196.33611627026571</v>
      </c>
      <c r="M384" s="115">
        <f>+E322</f>
        <v>-1112.9609999999998</v>
      </c>
      <c r="N384" s="111"/>
      <c r="O384" s="113">
        <v>0</v>
      </c>
      <c r="P384" s="114" t="e">
        <f>+F388</f>
        <v>#VALUE!</v>
      </c>
      <c r="Q384" s="115">
        <f>+F310</f>
        <v>267.3830374634851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497.4723568544722</v>
      </c>
      <c r="D385" s="116">
        <f>0.65*(0.85*D265*10*D375*D382*(0.5*D375-D382/2)+D378*D383*(0.5*D375-D45*10)+D378*D266*10*(D380-0.5*D375))/10000</f>
        <v>497.4723568544722</v>
      </c>
      <c r="E385" s="116">
        <f>0.65*(0.85*E265*10*E375*E382*(0.5*E375-E382/2)+E378*E383*(0.5*E375-E45*10)+E378*E266*10*(E380-0.5*E375))/10000</f>
        <v>497.4723568544722</v>
      </c>
      <c r="F385" s="116" t="e">
        <f>0.65*(0.85*F265*10*F375*F382*(0.5*F375-F382/2)+F378*F383*(0.5*F375-F45*10)+F378*F266*10*(F380-0.5*F375))/10000</f>
        <v>#VALUE!</v>
      </c>
      <c r="G385" s="118" t="s">
        <v>77</v>
      </c>
      <c r="J385" s="116">
        <f>+E385</f>
        <v>497.4723568544722</v>
      </c>
      <c r="K385" s="114">
        <f>+E384</f>
        <v>1008.0545196984915</v>
      </c>
      <c r="L385" s="115">
        <f>+E311</f>
        <v>88.252128409751407</v>
      </c>
      <c r="M385" s="115">
        <f>+E323</f>
        <v>892.76099999999985</v>
      </c>
      <c r="N385" s="111"/>
      <c r="O385" s="116" t="e">
        <f>+F385</f>
        <v>#VALUE!</v>
      </c>
      <c r="P385" s="114" t="e">
        <f>+F384</f>
        <v>#VALUE!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0.49349747174712921</v>
      </c>
      <c r="D386" s="121">
        <f>+D385/D384</f>
        <v>0.49349747174712921</v>
      </c>
      <c r="E386" s="121">
        <f>+E385/E384</f>
        <v>0.49349747174712921</v>
      </c>
      <c r="F386" s="121" t="e">
        <f>+F385/F384</f>
        <v>#VALUE!</v>
      </c>
      <c r="G386" s="118" t="s">
        <v>50</v>
      </c>
      <c r="J386" s="117">
        <f>+E390</f>
        <v>441.46619999999996</v>
      </c>
      <c r="K386" s="114">
        <v>0</v>
      </c>
      <c r="L386" s="115">
        <f>+E313</f>
        <v>266.49319177720145</v>
      </c>
      <c r="M386" s="115">
        <f>+E325</f>
        <v>-1042.1115</v>
      </c>
      <c r="N386" s="111"/>
      <c r="O386" s="117" t="e">
        <f>+F390</f>
        <v>#VALUE!</v>
      </c>
      <c r="P386" s="114">
        <v>0</v>
      </c>
      <c r="Q386" s="115">
        <f>+F313</f>
        <v>358.69678124699402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197.48809238525513</v>
      </c>
      <c r="M387" s="115">
        <f>+E324</f>
        <v>-202.566</v>
      </c>
      <c r="N387" s="111"/>
      <c r="O387" s="118">
        <v>0</v>
      </c>
      <c r="P387" s="114" t="e">
        <f>F389</f>
        <v>#VALUE!</v>
      </c>
      <c r="Q387" s="115">
        <f>+F312</f>
        <v>236.46312697260669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5781.2580000000007</v>
      </c>
      <c r="D388" s="116">
        <f>0.75*(0.8*0.85*D265*10*(D375*D376-D377)+D377*D266*10)/100</f>
        <v>5781.2580000000007</v>
      </c>
      <c r="E388" s="116">
        <f>0.75*(0.8*0.85*E265*10*(E375*E376-E377)+E377*E266*10)/100</f>
        <v>5781.2580000000007</v>
      </c>
      <c r="F388" s="116" t="e">
        <f>0.75*(0.8*0.85*F265*10*(F375*F376-F377)+F377*F266*10)/100</f>
        <v>#VALUE!</v>
      </c>
      <c r="G388" s="118" t="s">
        <v>41</v>
      </c>
      <c r="X388" s="376"/>
      <c r="Y388" s="376"/>
      <c r="Z388" s="376"/>
      <c r="AA388" s="376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 t="e">
        <f>-F377*F266*10/100*0.9</f>
        <v>#VALUE!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441.46619999999996</v>
      </c>
      <c r="D390" s="117">
        <f>D378*D266*10*(D380-(D378*D266*10/(0.85*D265*10*D376))/2)/10000*0.9</f>
        <v>441.46619999999996</v>
      </c>
      <c r="E390" s="117">
        <f>E378*E266*10*(E380-(E378*E266*10/(0.85*E265*10*E376))/2)/10000*0.9</f>
        <v>441.46619999999996</v>
      </c>
      <c r="F390" s="117" t="e">
        <f>F378*F266*10*(F380-(F378*F266*10/(0.85*F265*10*F376))/2)/10000*0.9</f>
        <v>#VALUE!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525</v>
      </c>
      <c r="D391" s="116">
        <f>0.1*D265*10*D332/100</f>
        <v>525</v>
      </c>
      <c r="E391" s="116">
        <f>0.1*E265*10*E332/100</f>
        <v>525</v>
      </c>
      <c r="F391" s="116">
        <f>0.1*F265*10*F332/100</f>
        <v>525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</mergeCells>
  <conditionalFormatting sqref="AI8:AI9 AI11 AF8 AF10">
    <cfRule type="expression" dxfId="170" priority="273">
      <formula>AF8&gt;AF7</formula>
    </cfRule>
  </conditionalFormatting>
  <conditionalFormatting sqref="AI12:AI13">
    <cfRule type="expression" dxfId="169" priority="272">
      <formula>AI12&lt;AI1048558</formula>
    </cfRule>
  </conditionalFormatting>
  <conditionalFormatting sqref="AI6 AF6">
    <cfRule type="expression" dxfId="168" priority="271">
      <formula>AF6&gt;AF5</formula>
    </cfRule>
  </conditionalFormatting>
  <conditionalFormatting sqref="AH8:AH9 AH11">
    <cfRule type="expression" dxfId="167" priority="270">
      <formula>AH8&gt;AH7</formula>
    </cfRule>
  </conditionalFormatting>
  <conditionalFormatting sqref="AH12:AH13">
    <cfRule type="expression" dxfId="166" priority="269">
      <formula>AH12&lt;AH1048558</formula>
    </cfRule>
  </conditionalFormatting>
  <conditionalFormatting sqref="AH6">
    <cfRule type="expression" dxfId="165" priority="268">
      <formula>AH6&gt;AH5</formula>
    </cfRule>
  </conditionalFormatting>
  <conditionalFormatting sqref="AF11:AF12">
    <cfRule type="expression" dxfId="164" priority="274">
      <formula>AF11&lt;AG1048547</formula>
    </cfRule>
  </conditionalFormatting>
  <conditionalFormatting sqref="C62:F62">
    <cfRule type="cellIs" dxfId="163" priority="104" operator="notEqual">
      <formula>"OK"</formula>
    </cfRule>
    <cfRule type="cellIs" dxfId="162" priority="105" operator="equal">
      <formula>"OK"</formula>
    </cfRule>
  </conditionalFormatting>
  <conditionalFormatting sqref="C73:F73">
    <cfRule type="cellIs" dxfId="161" priority="102" operator="notEqual">
      <formula>"OK"</formula>
    </cfRule>
    <cfRule type="cellIs" dxfId="160" priority="103" operator="equal">
      <formula>"OK"</formula>
    </cfRule>
  </conditionalFormatting>
  <conditionalFormatting sqref="C84:F84">
    <cfRule type="cellIs" dxfId="159" priority="100" operator="notEqual">
      <formula>"OK"</formula>
    </cfRule>
    <cfRule type="cellIs" dxfId="158" priority="101" operator="equal">
      <formula>"OK"</formula>
    </cfRule>
  </conditionalFormatting>
  <conditionalFormatting sqref="C108:F108">
    <cfRule type="cellIs" dxfId="157" priority="98" operator="notEqual">
      <formula>"OK"</formula>
    </cfRule>
    <cfRule type="cellIs" dxfId="156" priority="99" operator="equal">
      <formula>"OK"</formula>
    </cfRule>
  </conditionalFormatting>
  <conditionalFormatting sqref="C211">
    <cfRule type="cellIs" dxfId="155" priority="96" operator="notEqual">
      <formula>"OK"</formula>
    </cfRule>
    <cfRule type="cellIs" dxfId="154" priority="97" operator="equal">
      <formula>"OK"</formula>
    </cfRule>
  </conditionalFormatting>
  <conditionalFormatting sqref="D211">
    <cfRule type="cellIs" dxfId="153" priority="94" operator="notEqual">
      <formula>"OK"</formula>
    </cfRule>
    <cfRule type="cellIs" dxfId="152" priority="95" operator="equal">
      <formula>"OK"</formula>
    </cfRule>
  </conditionalFormatting>
  <conditionalFormatting sqref="E211">
    <cfRule type="cellIs" dxfId="151" priority="92" operator="notEqual">
      <formula>"OK"</formula>
    </cfRule>
    <cfRule type="cellIs" dxfId="150" priority="93" operator="equal">
      <formula>"OK"</formula>
    </cfRule>
  </conditionalFormatting>
  <conditionalFormatting sqref="F211">
    <cfRule type="cellIs" dxfId="149" priority="90" operator="notEqual">
      <formula>"OK"</formula>
    </cfRule>
    <cfRule type="cellIs" dxfId="148" priority="91" operator="equal">
      <formula>"OK"</formula>
    </cfRule>
  </conditionalFormatting>
  <conditionalFormatting sqref="C216">
    <cfRule type="cellIs" dxfId="147" priority="88" operator="notEqual">
      <formula>"OK"</formula>
    </cfRule>
    <cfRule type="cellIs" dxfId="146" priority="89" operator="equal">
      <formula>"OK"</formula>
    </cfRule>
  </conditionalFormatting>
  <conditionalFormatting sqref="D216">
    <cfRule type="cellIs" dxfId="145" priority="86" operator="notEqual">
      <formula>"OK"</formula>
    </cfRule>
    <cfRule type="cellIs" dxfId="144" priority="87" operator="equal">
      <formula>"OK"</formula>
    </cfRule>
  </conditionalFormatting>
  <conditionalFormatting sqref="E216">
    <cfRule type="cellIs" dxfId="143" priority="84" operator="notEqual">
      <formula>"OK"</formula>
    </cfRule>
    <cfRule type="cellIs" dxfId="142" priority="85" operator="equal">
      <formula>"OK"</formula>
    </cfRule>
  </conditionalFormatting>
  <conditionalFormatting sqref="F216">
    <cfRule type="cellIs" dxfId="141" priority="82" operator="notEqual">
      <formula>"OK"</formula>
    </cfRule>
    <cfRule type="cellIs" dxfId="140" priority="83" operator="equal">
      <formula>"OK"</formula>
    </cfRule>
  </conditionalFormatting>
  <conditionalFormatting sqref="C348">
    <cfRule type="cellIs" dxfId="139" priority="80" operator="notEqual">
      <formula>"OK"</formula>
    </cfRule>
    <cfRule type="cellIs" dxfId="138" priority="81" operator="equal">
      <formula>"OK"</formula>
    </cfRule>
  </conditionalFormatting>
  <conditionalFormatting sqref="D348">
    <cfRule type="cellIs" dxfId="137" priority="78" operator="notEqual">
      <formula>"OK"</formula>
    </cfRule>
    <cfRule type="cellIs" dxfId="136" priority="79" operator="equal">
      <formula>"OK"</formula>
    </cfRule>
  </conditionalFormatting>
  <conditionalFormatting sqref="E348">
    <cfRule type="cellIs" dxfId="135" priority="76" operator="notEqual">
      <formula>"OK"</formula>
    </cfRule>
    <cfRule type="cellIs" dxfId="134" priority="77" operator="equal">
      <formula>"OK"</formula>
    </cfRule>
  </conditionalFormatting>
  <conditionalFormatting sqref="F348">
    <cfRule type="cellIs" dxfId="133" priority="74" operator="notEqual">
      <formula>"OK"</formula>
    </cfRule>
    <cfRule type="cellIs" dxfId="132" priority="75" operator="equal">
      <formula>"OK"</formula>
    </cfRule>
  </conditionalFormatting>
  <conditionalFormatting sqref="D30:G33">
    <cfRule type="cellIs" dxfId="131" priority="73" operator="lessThan">
      <formula>0</formula>
    </cfRule>
  </conditionalFormatting>
  <conditionalFormatting sqref="H30">
    <cfRule type="cellIs" dxfId="130" priority="72" operator="greaterThan">
      <formula>0</formula>
    </cfRule>
  </conditionalFormatting>
  <conditionalFormatting sqref="H31">
    <cfRule type="cellIs" dxfId="129" priority="71" operator="lessThan">
      <formula>0</formula>
    </cfRule>
  </conditionalFormatting>
  <conditionalFormatting sqref="C30">
    <cfRule type="cellIs" dxfId="128" priority="70" operator="greaterThan">
      <formula>0</formula>
    </cfRule>
  </conditionalFormatting>
  <conditionalFormatting sqref="C31">
    <cfRule type="cellIs" dxfId="127" priority="69" operator="lessThan">
      <formula>0</formula>
    </cfRule>
  </conditionalFormatting>
  <conditionalFormatting sqref="C130:F130">
    <cfRule type="cellIs" dxfId="126" priority="67" operator="notEqual">
      <formula>"OK"</formula>
    </cfRule>
    <cfRule type="cellIs" dxfId="125" priority="68" operator="equal">
      <formula>"OK"</formula>
    </cfRule>
  </conditionalFormatting>
  <conditionalFormatting sqref="C152:F152">
    <cfRule type="cellIs" dxfId="124" priority="65" operator="notEqual">
      <formula>"OK"</formula>
    </cfRule>
    <cfRule type="cellIs" dxfId="123" priority="66" operator="equal">
      <formula>"OK"</formula>
    </cfRule>
  </conditionalFormatting>
  <conditionalFormatting sqref="C174:F174">
    <cfRule type="cellIs" dxfId="122" priority="63" operator="notEqual">
      <formula>"OK"</formula>
    </cfRule>
    <cfRule type="cellIs" dxfId="121" priority="64" operator="equal">
      <formula>"OK"</formula>
    </cfRule>
  </conditionalFormatting>
  <conditionalFormatting sqref="C99:F100">
    <cfRule type="cellIs" dxfId="120" priority="62" operator="greaterThan">
      <formula>$C$42/6</formula>
    </cfRule>
  </conditionalFormatting>
  <conditionalFormatting sqref="C121:F122">
    <cfRule type="cellIs" dxfId="119" priority="61" operator="greaterThan">
      <formula>$C$42/6</formula>
    </cfRule>
  </conditionalFormatting>
  <conditionalFormatting sqref="C143:F144">
    <cfRule type="cellIs" dxfId="118" priority="60" operator="greaterThan">
      <formula>$C$42/6</formula>
    </cfRule>
  </conditionalFormatting>
  <conditionalFormatting sqref="C166:F166 D165:F165">
    <cfRule type="cellIs" dxfId="117" priority="59" operator="greaterThan">
      <formula>$C$42/6</formula>
    </cfRule>
  </conditionalFormatting>
  <conditionalFormatting sqref="C189:F190">
    <cfRule type="cellIs" dxfId="116" priority="58" operator="greaterThan">
      <formula>$C$42/6</formula>
    </cfRule>
  </conditionalFormatting>
  <conditionalFormatting sqref="C225:F225">
    <cfRule type="cellIs" dxfId="115" priority="57" operator="greaterThan">
      <formula>0.25</formula>
    </cfRule>
  </conditionalFormatting>
  <conditionalFormatting sqref="C234:F234">
    <cfRule type="cellIs" dxfId="114" priority="56" operator="greaterThan">
      <formula>0.25</formula>
    </cfRule>
  </conditionalFormatting>
  <conditionalFormatting sqref="C340">
    <cfRule type="cellIs" dxfId="113" priority="53" operator="greaterThan">
      <formula>0.3</formula>
    </cfRule>
  </conditionalFormatting>
  <conditionalFormatting sqref="D23:G25 F22:G22">
    <cfRule type="cellIs" dxfId="112" priority="52" operator="lessThan">
      <formula>0</formula>
    </cfRule>
  </conditionalFormatting>
  <conditionalFormatting sqref="H22">
    <cfRule type="cellIs" dxfId="111" priority="51" operator="greaterThan">
      <formula>0</formula>
    </cfRule>
  </conditionalFormatting>
  <conditionalFormatting sqref="H23">
    <cfRule type="cellIs" dxfId="110" priority="50" operator="lessThan">
      <formula>0</formula>
    </cfRule>
  </conditionalFormatting>
  <conditionalFormatting sqref="C22">
    <cfRule type="cellIs" dxfId="109" priority="49" operator="greaterThan">
      <formula>0</formula>
    </cfRule>
  </conditionalFormatting>
  <conditionalFormatting sqref="C23:E23">
    <cfRule type="cellIs" dxfId="108" priority="48" operator="lessThan">
      <formula>0</formula>
    </cfRule>
  </conditionalFormatting>
  <conditionalFormatting sqref="C165">
    <cfRule type="cellIs" dxfId="107" priority="45" operator="greaterThan">
      <formula>$C$42/6</formula>
    </cfRule>
  </conditionalFormatting>
  <conditionalFormatting sqref="C274:F274">
    <cfRule type="cellIs" dxfId="106" priority="44" operator="equal">
      <formula>"Revisar"</formula>
    </cfRule>
  </conditionalFormatting>
  <conditionalFormatting sqref="I46:I52">
    <cfRule type="cellIs" dxfId="105" priority="41" operator="lessThan">
      <formula>1</formula>
    </cfRule>
    <cfRule type="cellIs" dxfId="104" priority="42" operator="greaterThan">
      <formula>1</formula>
    </cfRule>
  </conditionalFormatting>
  <conditionalFormatting sqref="G337">
    <cfRule type="cellIs" dxfId="103" priority="40" operator="lessThan">
      <formula>10</formula>
    </cfRule>
  </conditionalFormatting>
  <conditionalFormatting sqref="G336">
    <cfRule type="cellIs" dxfId="102" priority="35" operator="lessThan">
      <formula>MAX($C$336:$F$336)</formula>
    </cfRule>
    <cfRule type="cellIs" dxfId="101" priority="38" operator="greaterThan">
      <formula>20</formula>
    </cfRule>
  </conditionalFormatting>
  <conditionalFormatting sqref="G233">
    <cfRule type="cellIs" dxfId="100" priority="37" operator="lessThan">
      <formula>MAX($C$233:$F$233)</formula>
    </cfRule>
  </conditionalFormatting>
  <conditionalFormatting sqref="G224">
    <cfRule type="cellIs" dxfId="99" priority="36" operator="lessThan">
      <formula>MAX($C$224:$F$224)</formula>
    </cfRule>
  </conditionalFormatting>
  <conditionalFormatting sqref="C39">
    <cfRule type="cellIs" dxfId="98" priority="282" operator="lessThan">
      <formula>$L$34</formula>
    </cfRule>
  </conditionalFormatting>
  <conditionalFormatting sqref="C42">
    <cfRule type="cellIs" dxfId="97" priority="283" operator="greaterThan">
      <formula>$J$36/2</formula>
    </cfRule>
  </conditionalFormatting>
  <conditionalFormatting sqref="L40:L43">
    <cfRule type="cellIs" dxfId="96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5" priority="10" stopIfTrue="1">
      <formula>$J$2=1</formula>
    </cfRule>
  </conditionalFormatting>
  <conditionalFormatting sqref="C326:F329">
    <cfRule type="cellIs" dxfId="94" priority="12" operator="equal">
      <formula>"Aumentar D"</formula>
    </cfRule>
  </conditionalFormatting>
  <conditionalFormatting sqref="D22:E22">
    <cfRule type="cellIs" dxfId="93" priority="11" operator="lessThan">
      <formula>0</formula>
    </cfRule>
  </conditionalFormatting>
  <conditionalFormatting sqref="C40">
    <cfRule type="expression" dxfId="92" priority="5">
      <formula>AND($C$40&lt;&gt;0.4, $J$5=1)</formula>
    </cfRule>
  </conditionalFormatting>
  <conditionalFormatting sqref="I326">
    <cfRule type="cellIs" dxfId="91" priority="4" operator="equal">
      <formula>"Aumentar D"</formula>
    </cfRule>
  </conditionalFormatting>
  <conditionalFormatting sqref="M45:M46">
    <cfRule type="cellIs" dxfId="90" priority="3" operator="equal">
      <formula>"Aumentar D"</formula>
    </cfRule>
  </conditionalFormatting>
  <conditionalFormatting sqref="C43">
    <cfRule type="expression" dxfId="89" priority="287">
      <formula>AND($C$43&lt;&gt;1, $J$5=1)</formula>
    </cfRule>
    <cfRule type="expression" dxfId="88" priority="288">
      <formula>AND($C$43&lt;$L$35, $J$5&lt;&gt;1)</formula>
    </cfRule>
  </conditionalFormatting>
  <conditionalFormatting sqref="J339">
    <cfRule type="cellIs" dxfId="87" priority="1" operator="notEqual">
      <formula>"OK"</formula>
    </cfRule>
    <cfRule type="cellIs" dxfId="86" priority="2" operator="equal">
      <formula>"OK"</formula>
    </cfRule>
  </conditionalFormatting>
  <dataValidations count="3">
    <dataValidation type="list" allowBlank="1" showInputMessage="1" showErrorMessage="1" sqref="C223:F223 C341 C232:F232 C335:F335">
      <formula1>$K$238:$K$243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D5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39997558519241921"/>
  </sheetPr>
  <dimension ref="A1:W71"/>
  <sheetViews>
    <sheetView showGridLines="0" zoomScaleNormal="100" workbookViewId="0">
      <selection activeCell="C13" sqref="C13:E13"/>
    </sheetView>
  </sheetViews>
  <sheetFormatPr baseColWidth="10" defaultColWidth="11.42578125" defaultRowHeight="12" customHeight="1"/>
  <cols>
    <col min="1" max="1" width="8.7109375" style="79" customWidth="1"/>
    <col min="2" max="2" width="5.28515625" style="79" customWidth="1"/>
    <col min="3" max="3" width="8.28515625" style="79" customWidth="1"/>
    <col min="4" max="4" width="12.7109375" style="79" customWidth="1"/>
    <col min="5" max="5" width="31.85546875" style="79" customWidth="1"/>
    <col min="6" max="6" width="16.42578125" style="79" customWidth="1"/>
    <col min="7" max="7" width="17" style="79" customWidth="1"/>
    <col min="8" max="8" width="16.42578125" style="79" customWidth="1"/>
    <col min="9" max="9" width="14.42578125" style="79" customWidth="1"/>
    <col min="10" max="10" width="14.28515625" style="79" customWidth="1"/>
    <col min="11" max="11" width="17.85546875" style="79" customWidth="1"/>
    <col min="12" max="12" width="11.42578125" style="79"/>
    <col min="13" max="13" width="30.42578125" style="79" bestFit="1" customWidth="1"/>
    <col min="14" max="16384" width="11.425781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398" t="s">
        <v>271</v>
      </c>
      <c r="C2" s="399"/>
      <c r="D2" s="399"/>
      <c r="E2" s="399"/>
      <c r="F2" s="399"/>
      <c r="G2" s="399"/>
      <c r="H2" s="399"/>
      <c r="I2" s="400"/>
      <c r="M2" s="83"/>
    </row>
    <row r="3" spans="2:23" ht="12" customHeight="1" thickBot="1">
      <c r="B3" s="401"/>
      <c r="C3" s="402"/>
      <c r="D3" s="402"/>
      <c r="E3" s="402"/>
      <c r="F3" s="402"/>
      <c r="G3" s="402"/>
      <c r="H3" s="402"/>
      <c r="I3" s="403"/>
      <c r="M3" s="82"/>
    </row>
    <row r="4" spans="2:23" ht="12" customHeight="1" thickBot="1">
      <c r="B4" s="404" t="s">
        <v>353</v>
      </c>
      <c r="C4" s="405"/>
      <c r="D4" s="405"/>
      <c r="E4" s="406"/>
      <c r="F4" s="416" t="str">
        <f>+Dis_Cuadrado!A2</f>
        <v>TXS2</v>
      </c>
      <c r="G4" s="417"/>
      <c r="H4" s="417"/>
      <c r="I4" s="418"/>
      <c r="K4" s="80"/>
      <c r="M4" s="83"/>
    </row>
    <row r="5" spans="2:23" ht="12" customHeight="1">
      <c r="B5" s="285" t="s">
        <v>354</v>
      </c>
      <c r="C5" s="422" t="s">
        <v>355</v>
      </c>
      <c r="D5" s="422"/>
      <c r="E5" s="423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19" t="s">
        <v>150</v>
      </c>
      <c r="O5" s="420"/>
      <c r="P5" s="420"/>
      <c r="Q5" s="421"/>
    </row>
    <row r="6" spans="2:23" ht="12" customHeight="1">
      <c r="B6" s="286"/>
      <c r="C6" s="424" t="s">
        <v>272</v>
      </c>
      <c r="D6" s="424"/>
      <c r="E6" s="425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24" t="s">
        <v>4</v>
      </c>
      <c r="D7" s="424"/>
      <c r="E7" s="425"/>
      <c r="F7" s="96" t="str">
        <f>+Dis_Cuadrado!$D$5</f>
        <v>COHESIVO</v>
      </c>
      <c r="G7" s="96" t="str">
        <f>+Dis_Cuadrado!$D$5</f>
        <v>COHESIVO</v>
      </c>
      <c r="H7" s="96" t="str">
        <f>+Dis_Cuadrado!$D$5</f>
        <v>COHESIVO</v>
      </c>
      <c r="I7" s="96" t="str">
        <f>+Dis_Cuadrado!$D$5</f>
        <v>COHESIVO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24" t="s">
        <v>274</v>
      </c>
      <c r="D8" s="424"/>
      <c r="E8" s="425"/>
      <c r="F8" s="85" t="str">
        <f>Dis_Cuadrado!$C$5</f>
        <v>SUMERGIDA</v>
      </c>
      <c r="G8" s="85" t="str">
        <f>Dis_Cuadrado!$C$5</f>
        <v>SUMERGIDA</v>
      </c>
      <c r="H8" s="85" t="str">
        <f>Dis_Cuadrado!$C$5</f>
        <v>SUMERGIDA</v>
      </c>
      <c r="I8" s="85" t="str">
        <f>Dis_Cuadrado!$C$5</f>
        <v>SUMERGIDA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24" t="s">
        <v>275</v>
      </c>
      <c r="D9" s="424"/>
      <c r="E9" s="425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24" t="s">
        <v>357</v>
      </c>
      <c r="D10" s="424"/>
      <c r="E10" s="425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24" t="s">
        <v>359</v>
      </c>
      <c r="D11" s="424"/>
      <c r="E11" s="425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24" t="s">
        <v>361</v>
      </c>
      <c r="D12" s="424"/>
      <c r="E12" s="425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24" t="s">
        <v>363</v>
      </c>
      <c r="D13" s="424"/>
      <c r="E13" s="425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24" t="s">
        <v>365</v>
      </c>
      <c r="D14" s="424"/>
      <c r="E14" s="425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24" t="s">
        <v>276</v>
      </c>
      <c r="D15" s="424"/>
      <c r="E15" s="425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29" t="s">
        <v>277</v>
      </c>
      <c r="D16" s="429"/>
      <c r="E16" s="430"/>
      <c r="F16" s="106">
        <f>+Dis_Cuadrado!$C$16</f>
        <v>21</v>
      </c>
      <c r="G16" s="106">
        <f>+Dis_Cuadrado!$C$16</f>
        <v>21</v>
      </c>
      <c r="H16" s="106">
        <f>+Dis_Cuadrado!$C$16</f>
        <v>21</v>
      </c>
      <c r="I16" s="106">
        <f>+Dis_Cuadrado!$C$16</f>
        <v>21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07" t="s">
        <v>278</v>
      </c>
      <c r="C17" s="408"/>
      <c r="D17" s="413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09"/>
      <c r="C18" s="410"/>
      <c r="D18" s="414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09"/>
      <c r="C19" s="410"/>
      <c r="D19" s="414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09"/>
      <c r="C20" s="410"/>
      <c r="D20" s="414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09"/>
      <c r="C21" s="410"/>
      <c r="D21" s="414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09"/>
      <c r="C22" s="410"/>
      <c r="D22" s="414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11"/>
      <c r="C23" s="412"/>
      <c r="D23" s="415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07" t="s">
        <v>286</v>
      </c>
      <c r="C24" s="408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09"/>
      <c r="C25" s="410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409"/>
      <c r="C26" s="410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409"/>
      <c r="C27" s="410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409"/>
      <c r="C28" s="410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409"/>
      <c r="C29" s="410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09"/>
      <c r="C30" s="410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11"/>
      <c r="C31" s="412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407" t="s">
        <v>288</v>
      </c>
      <c r="C32" s="408"/>
      <c r="D32" s="413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409"/>
      <c r="C33" s="410"/>
      <c r="D33" s="414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09"/>
      <c r="C34" s="410"/>
      <c r="D34" s="414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09"/>
      <c r="C35" s="410"/>
      <c r="D35" s="414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409"/>
      <c r="C36" s="410"/>
      <c r="D36" s="414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409"/>
      <c r="C37" s="410"/>
      <c r="D37" s="414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409"/>
      <c r="C38" s="410"/>
      <c r="D38" s="414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409"/>
      <c r="C39" s="410"/>
      <c r="D39" s="414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411"/>
      <c r="C40" s="412"/>
      <c r="D40" s="415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407" t="s">
        <v>288</v>
      </c>
      <c r="C41" s="408"/>
      <c r="D41" s="413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409"/>
      <c r="C42" s="410"/>
      <c r="D42" s="414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09"/>
      <c r="C43" s="410"/>
      <c r="D43" s="414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409"/>
      <c r="C44" s="410"/>
      <c r="D44" s="414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409"/>
      <c r="C45" s="410"/>
      <c r="D45" s="414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409"/>
      <c r="C46" s="410"/>
      <c r="D46" s="414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409"/>
      <c r="C47" s="410"/>
      <c r="D47" s="414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411"/>
      <c r="C48" s="412"/>
      <c r="D48" s="415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407" t="s">
        <v>290</v>
      </c>
      <c r="C49" s="408"/>
      <c r="D49" s="413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09"/>
      <c r="C50" s="410"/>
      <c r="D50" s="414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09"/>
      <c r="C51" s="410"/>
      <c r="D51" s="414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09"/>
      <c r="C52" s="410"/>
      <c r="D52" s="414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09"/>
      <c r="C53" s="410"/>
      <c r="D53" s="414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09"/>
      <c r="C54" s="410"/>
      <c r="D54" s="414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09"/>
      <c r="C55" s="410"/>
      <c r="D55" s="414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11"/>
      <c r="C56" s="412"/>
      <c r="D56" s="415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07" t="s">
        <v>376</v>
      </c>
      <c r="C57" s="408"/>
      <c r="D57" s="413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09"/>
      <c r="C58" s="410"/>
      <c r="D58" s="414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09"/>
      <c r="C59" s="410"/>
      <c r="D59" s="414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09"/>
      <c r="C60" s="410"/>
      <c r="D60" s="414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09"/>
      <c r="C61" s="410"/>
      <c r="D61" s="414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09"/>
      <c r="C62" s="410"/>
      <c r="D62" s="414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09"/>
      <c r="C63" s="410"/>
      <c r="D63" s="414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11"/>
      <c r="C64" s="412"/>
      <c r="D64" s="415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31" t="s">
        <v>367</v>
      </c>
      <c r="C65" s="432"/>
      <c r="D65" s="432"/>
      <c r="E65" s="433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434" t="s">
        <v>368</v>
      </c>
      <c r="C66" s="435"/>
      <c r="D66" s="435"/>
      <c r="E66" s="436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434" t="s">
        <v>369</v>
      </c>
      <c r="C67" s="435"/>
      <c r="D67" s="435"/>
      <c r="E67" s="436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37" t="s">
        <v>370</v>
      </c>
      <c r="C68" s="438"/>
      <c r="D68" s="438"/>
      <c r="E68" s="439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26" t="s">
        <v>366</v>
      </c>
      <c r="C69" s="427"/>
      <c r="D69" s="427"/>
      <c r="E69" s="428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66:E66"/>
    <mergeCell ref="B67:E67"/>
    <mergeCell ref="B68:E68"/>
    <mergeCell ref="B57:C64"/>
    <mergeCell ref="B49:C56"/>
    <mergeCell ref="D49:D56"/>
    <mergeCell ref="D57:D64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2:I3"/>
    <mergeCell ref="B4:E4"/>
    <mergeCell ref="B24:C31"/>
    <mergeCell ref="B32:C40"/>
    <mergeCell ref="B41:C48"/>
    <mergeCell ref="D32:D40"/>
    <mergeCell ref="D41:D48"/>
    <mergeCell ref="F4:I4"/>
    <mergeCell ref="B17:C23"/>
  </mergeCells>
  <conditionalFormatting sqref="B32:I40">
    <cfRule type="expression" dxfId="85" priority="2">
      <formula>OR($F$22=16)</formula>
    </cfRule>
  </conditionalFormatting>
  <conditionalFormatting sqref="B41:I48">
    <cfRule type="expression" dxfId="84" priority="1">
      <formula>OR($F$22=20,     $F$22=12)</formula>
    </cfRule>
  </conditionalFormatting>
  <dataValidations count="1">
    <dataValidation type="list" allowBlank="1" showInputMessage="1" showErrorMessage="1" sqref="F49:I49 F17:I17 F24:I24 F57:I57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  <pageSetUpPr fitToPage="1"/>
  </sheetPr>
  <dimension ref="A1:AM427"/>
  <sheetViews>
    <sheetView showGridLines="0" tabSelected="1" topLeftCell="A212" zoomScale="70" zoomScaleNormal="70" zoomScaleSheetLayoutView="80" workbookViewId="0">
      <selection activeCell="C220" sqref="C220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5" width="11.140625" customWidth="1"/>
    <col min="6" max="6" width="10.28515625" customWidth="1"/>
    <col min="7" max="8" width="11.1406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66" t="s">
        <v>390</v>
      </c>
      <c r="B2" s="367"/>
      <c r="C2" s="124"/>
      <c r="D2" s="124"/>
      <c r="E2" s="124"/>
      <c r="F2" s="124"/>
      <c r="G2" s="124"/>
      <c r="H2" s="122"/>
      <c r="I2" s="100"/>
      <c r="J2" s="306">
        <v>2</v>
      </c>
      <c r="Q2" s="370" t="s">
        <v>0</v>
      </c>
      <c r="R2" s="371"/>
      <c r="S2" s="371"/>
      <c r="T2" s="371"/>
      <c r="U2" s="371"/>
      <c r="V2" s="372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68"/>
      <c r="B3" s="369"/>
      <c r="C3" s="50"/>
      <c r="H3" s="28"/>
      <c r="I3" s="100"/>
      <c r="J3" s="203"/>
      <c r="L3" s="31"/>
      <c r="M3" s="31"/>
      <c r="N3" s="31"/>
      <c r="O3" s="31"/>
      <c r="P3" s="31"/>
      <c r="Q3" s="373" t="s">
        <v>1</v>
      </c>
      <c r="R3" s="374"/>
      <c r="S3" s="374"/>
      <c r="T3" s="374"/>
      <c r="U3" s="374"/>
      <c r="V3" s="375"/>
      <c r="W3" s="138"/>
      <c r="X3" s="138"/>
      <c r="Y3" s="138"/>
      <c r="Z3" s="138"/>
      <c r="AE3" s="141"/>
      <c r="AF3" s="142"/>
      <c r="AH3" s="142"/>
      <c r="AI3" s="142"/>
      <c r="AJ3" s="376"/>
      <c r="AK3" s="376"/>
      <c r="AL3" s="376"/>
      <c r="AM3" s="376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Hp=1 m</v>
      </c>
      <c r="AB5" t="str">
        <f t="shared" si="0"/>
        <v>DIAGRAMA FLEXOCOMPRESIÓN PEDESTAL Hp=1 m</v>
      </c>
      <c r="AC5" t="str">
        <f t="shared" si="0"/>
        <v>DIAGRAMA FLEXOCOMPRESIÓN PEDESTAL Hp=1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77" t="s">
        <v>14</v>
      </c>
      <c r="G6" s="378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3" t="s">
        <v>27</v>
      </c>
      <c r="R11" s="374"/>
      <c r="S11" s="374"/>
      <c r="T11" s="374"/>
      <c r="U11" s="374"/>
      <c r="V11" s="375"/>
      <c r="W11" s="379"/>
      <c r="X11" s="379"/>
      <c r="Y11" s="379"/>
      <c r="Z11" s="379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80" t="s">
        <v>34</v>
      </c>
      <c r="D19" s="381"/>
      <c r="E19" s="381"/>
      <c r="F19" s="381" t="s">
        <v>35</v>
      </c>
      <c r="G19" s="381"/>
      <c r="H19" s="382"/>
      <c r="I19" s="100"/>
      <c r="J19" s="381" t="s">
        <v>34</v>
      </c>
      <c r="K19" s="381"/>
      <c r="L19" s="381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80" t="s">
        <v>34</v>
      </c>
      <c r="D27" s="381"/>
      <c r="E27" s="381"/>
      <c r="F27" s="381" t="s">
        <v>35</v>
      </c>
      <c r="G27" s="381"/>
      <c r="H27" s="382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-1200</v>
      </c>
      <c r="D30" s="318">
        <f t="shared" ref="D30:H30" si="2">D22*1.5</f>
        <v>18</v>
      </c>
      <c r="E30" s="318">
        <f t="shared" si="2"/>
        <v>34.5</v>
      </c>
      <c r="F30" s="318">
        <f t="shared" si="2"/>
        <v>37.5</v>
      </c>
      <c r="G30" s="318">
        <f t="shared" si="2"/>
        <v>75</v>
      </c>
      <c r="H30" s="319">
        <f t="shared" si="2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3">C23*1.5</f>
        <v>975</v>
      </c>
      <c r="D31" s="318">
        <f t="shared" si="3"/>
        <v>22.5</v>
      </c>
      <c r="E31" s="318">
        <f t="shared" si="3"/>
        <v>15</v>
      </c>
      <c r="F31" s="318">
        <f t="shared" si="3"/>
        <v>45</v>
      </c>
      <c r="G31" s="318">
        <f t="shared" si="3"/>
        <v>30</v>
      </c>
      <c r="H31" s="319">
        <f t="shared" si="3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3"/>
        <v>0</v>
      </c>
      <c r="D32" s="317">
        <f t="shared" si="3"/>
        <v>45</v>
      </c>
      <c r="E32" s="318">
        <f t="shared" si="3"/>
        <v>30</v>
      </c>
      <c r="F32" s="317">
        <f t="shared" si="3"/>
        <v>90</v>
      </c>
      <c r="G32" s="318">
        <f t="shared" si="3"/>
        <v>60</v>
      </c>
      <c r="H32" s="320">
        <f t="shared" si="3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3"/>
        <v>300</v>
      </c>
      <c r="D33" s="318">
        <f t="shared" si="3"/>
        <v>15</v>
      </c>
      <c r="E33" s="317">
        <f t="shared" si="3"/>
        <v>52.5</v>
      </c>
      <c r="F33" s="318">
        <f t="shared" si="3"/>
        <v>30</v>
      </c>
      <c r="G33" s="317">
        <f t="shared" si="3"/>
        <v>105</v>
      </c>
      <c r="H33" s="320">
        <f t="shared" si="3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4">+C39</f>
        <v>0.5</v>
      </c>
      <c r="E39" s="201">
        <f t="shared" si="4"/>
        <v>0.5</v>
      </c>
      <c r="F39" s="201">
        <f t="shared" si="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4"/>
        <v>0.4</v>
      </c>
      <c r="E40" s="201">
        <f t="shared" si="4"/>
        <v>0.4</v>
      </c>
      <c r="F40" s="201">
        <f t="shared" si="4"/>
        <v>0.4</v>
      </c>
      <c r="G40" s="18" t="s">
        <v>50</v>
      </c>
      <c r="H40" s="28"/>
      <c r="I40" s="221" t="s">
        <v>154</v>
      </c>
      <c r="J40" s="130">
        <f>ROUNDUP(MAX($C$240:$F$240)/VLOOKUP(I40,$K$256:$L$261,2,FALSE),0 )</f>
        <v>28</v>
      </c>
      <c r="K40" s="74">
        <f>+($C$42-2*$C$45)/(J40-1)</f>
        <v>8.5185185185185183E-2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3.6</v>
      </c>
      <c r="D41" s="201">
        <f>+D43-D40+D38</f>
        <v>3.6</v>
      </c>
      <c r="E41" s="201">
        <f>+E43-E40+E38</f>
        <v>3.6</v>
      </c>
      <c r="F41" s="201">
        <f>+F43-F40+F38</f>
        <v>3.6</v>
      </c>
      <c r="G41" s="18" t="s">
        <v>50</v>
      </c>
      <c r="H41" s="28"/>
      <c r="I41" s="221" t="s">
        <v>145</v>
      </c>
      <c r="J41" s="130">
        <f>ROUNDUP(MAX($C$240:$F$240)/VLOOKUP(I41,$K$256:$L$261,2,FALSE),0 )</f>
        <v>18</v>
      </c>
      <c r="K41" s="74">
        <f t="shared" ref="K41:K43" si="5">+($C$42-2*$C$45)/(J41-1)</f>
        <v>0.13529411764705881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2.4</v>
      </c>
      <c r="D42" s="201">
        <f t="shared" ref="D42:F45" si="6">+C42</f>
        <v>2.4</v>
      </c>
      <c r="E42" s="201">
        <f t="shared" si="6"/>
        <v>2.4</v>
      </c>
      <c r="F42" s="201">
        <f t="shared" si="6"/>
        <v>2.4</v>
      </c>
      <c r="G42" s="18" t="s">
        <v>50</v>
      </c>
      <c r="H42" s="28"/>
      <c r="I42" s="221" t="s">
        <v>157</v>
      </c>
      <c r="J42" s="130">
        <f>ROUNDUP(MAX($C$240:$F$240)/VLOOKUP(I42,$K$256:$L$261,2,FALSE),0 )</f>
        <v>13</v>
      </c>
      <c r="K42" s="74">
        <f t="shared" si="5"/>
        <v>0.19166666666666665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ROUNDUP(MAX($C$240:$F$240)/VLOOKUP(I43,$K$256:$L$261,2,FALSE),0 )</f>
        <v>10</v>
      </c>
      <c r="K43" s="74">
        <f t="shared" si="5"/>
        <v>0.25555555555555554</v>
      </c>
      <c r="L43" s="8">
        <f>+M43+2*$C$45</f>
        <v>0.44999999999999996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6"/>
        <v>0.05</v>
      </c>
      <c r="E45" s="202">
        <f t="shared" si="6"/>
        <v>0.05</v>
      </c>
      <c r="F45" s="202">
        <f t="shared" si="6"/>
        <v>0.05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7">+K46/L46/(1+$I$45)</f>
        <v>0.67186284993698253</v>
      </c>
      <c r="J46" s="100" t="s">
        <v>301</v>
      </c>
      <c r="K46" s="203">
        <f>+J61</f>
        <v>1.0682619313998023</v>
      </c>
      <c r="L46" s="162">
        <v>1.5</v>
      </c>
      <c r="M46" s="313">
        <f>+I344</f>
        <v>0.75235867130078637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8">+D43-D40</f>
        <v>2.6</v>
      </c>
      <c r="E47" s="244">
        <f t="shared" si="8"/>
        <v>2.6</v>
      </c>
      <c r="F47" s="244">
        <f>+F43-F40</f>
        <v>2.6</v>
      </c>
      <c r="G47" s="245" t="s">
        <v>50</v>
      </c>
      <c r="H47" s="28"/>
      <c r="I47" s="4">
        <f t="shared" si="7"/>
        <v>0.61570926221013589</v>
      </c>
      <c r="J47" s="100" t="s">
        <v>302</v>
      </c>
      <c r="K47" s="203">
        <f>+J83</f>
        <v>0.97897772691411611</v>
      </c>
      <c r="L47" s="162">
        <v>1.5</v>
      </c>
      <c r="M47" s="314">
        <f>+I345</f>
        <v>0.38917384068902905</v>
      </c>
    </row>
    <row r="48" spans="1:16" ht="15.75" thickBot="1">
      <c r="A48" s="252"/>
      <c r="B48" s="200" t="s">
        <v>58</v>
      </c>
      <c r="C48" s="4"/>
      <c r="H48" s="28"/>
      <c r="I48" s="4">
        <f t="shared" si="7"/>
        <v>1.4456418823402892</v>
      </c>
      <c r="J48" s="100" t="s">
        <v>303</v>
      </c>
      <c r="K48" s="203">
        <f>+J95</f>
        <v>2.29857059292106</v>
      </c>
      <c r="L48" s="162">
        <v>1.5</v>
      </c>
    </row>
    <row r="49" spans="1:12" ht="17.25">
      <c r="A49" s="252"/>
      <c r="B49" s="1" t="s">
        <v>59</v>
      </c>
      <c r="C49" s="345">
        <f>+C40*C42^2+C41*C39^2</f>
        <v>3.2039999999999997</v>
      </c>
      <c r="D49" s="201">
        <f t="shared" ref="D49:E49" si="9">+D40*D42^2+D41*D39^2</f>
        <v>3.2039999999999997</v>
      </c>
      <c r="E49" s="201">
        <f t="shared" si="9"/>
        <v>3.2039999999999997</v>
      </c>
      <c r="F49" s="201">
        <f>+F40*F42^2+F41*F39^2</f>
        <v>3.2039999999999997</v>
      </c>
      <c r="G49" s="5" t="s">
        <v>60</v>
      </c>
      <c r="H49" s="28"/>
      <c r="I49" s="4">
        <f t="shared" si="7"/>
        <v>0.17799437526714124</v>
      </c>
      <c r="J49" s="100" t="s">
        <v>304</v>
      </c>
      <c r="K49" s="203">
        <f>+L120/MAX(J120,J164,J186,J142)</f>
        <v>0.18867403778316971</v>
      </c>
      <c r="L49" s="162">
        <v>1</v>
      </c>
    </row>
    <row r="50" spans="1:12" ht="17.25">
      <c r="A50" s="252"/>
      <c r="B50" s="1" t="s">
        <v>61</v>
      </c>
      <c r="C50" s="345">
        <f>(C43-C40)*(C42^2-C39^2)</f>
        <v>14.326000000000001</v>
      </c>
      <c r="D50" s="201">
        <f t="shared" ref="D50:F50" si="10">(D43-D40)*(D42^2-D39^2)</f>
        <v>14.326000000000001</v>
      </c>
      <c r="E50" s="201">
        <f t="shared" si="10"/>
        <v>14.326000000000001</v>
      </c>
      <c r="F50" s="201">
        <f t="shared" si="10"/>
        <v>14.326000000000001</v>
      </c>
      <c r="G50" s="5" t="s">
        <v>60</v>
      </c>
      <c r="H50" s="28"/>
      <c r="I50" s="4">
        <f t="shared" si="7"/>
        <v>1.3083259229621969</v>
      </c>
      <c r="J50" s="100" t="s">
        <v>324</v>
      </c>
      <c r="K50" s="203">
        <f>+L223</f>
        <v>1.14564392373896</v>
      </c>
      <c r="L50" s="203">
        <f>+J223</f>
        <v>0.82609091167717064</v>
      </c>
    </row>
    <row r="51" spans="1:12" ht="17.25">
      <c r="A51" s="252"/>
      <c r="B51" s="1" t="s">
        <v>62</v>
      </c>
      <c r="C51" s="345">
        <f>+C43*C42^2</f>
        <v>17.28</v>
      </c>
      <c r="D51" s="201">
        <f t="shared" ref="D51:F51" si="11">+D43*D42^2</f>
        <v>17.28</v>
      </c>
      <c r="E51" s="201">
        <f t="shared" si="11"/>
        <v>17.28</v>
      </c>
      <c r="F51" s="201">
        <f t="shared" si="11"/>
        <v>17.28</v>
      </c>
      <c r="G51" s="5" t="s">
        <v>60</v>
      </c>
      <c r="H51" s="28"/>
      <c r="I51" s="4">
        <f t="shared" si="7"/>
        <v>0.95031347288180867</v>
      </c>
      <c r="J51" s="100" t="s">
        <v>323</v>
      </c>
      <c r="K51" s="203">
        <f>+L230</f>
        <v>490.79385692977047</v>
      </c>
      <c r="L51" s="203">
        <f>+J230</f>
        <v>487.22141249999993</v>
      </c>
    </row>
    <row r="52" spans="1:12" ht="15.75" thickBot="1">
      <c r="A52" s="254"/>
      <c r="B52" s="50"/>
      <c r="C52" s="346"/>
      <c r="D52" s="50"/>
      <c r="E52" s="50"/>
      <c r="F52" s="50"/>
      <c r="G52" s="227"/>
      <c r="H52" s="127"/>
      <c r="I52" s="4">
        <f t="shared" si="7"/>
        <v>3.7858090575751522</v>
      </c>
      <c r="J52" s="100" t="s">
        <v>322</v>
      </c>
      <c r="K52" s="203">
        <f>+L366</f>
        <v>219.110792373896</v>
      </c>
      <c r="L52" s="203">
        <f>+J366</f>
        <v>54.600824169603889</v>
      </c>
    </row>
    <row r="53" spans="1:12" ht="15.7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8" thickBot="1">
      <c r="A54" s="252"/>
      <c r="B54" s="164" t="s">
        <v>64</v>
      </c>
      <c r="C54" s="346">
        <f>Piramide(C42^2, (   C42 + 2*(C43)*TAN(RADIANS(       IF($C$13=$C$14,$C$8,$C$8*0.5)       ))   )^2, C43)
    -(C43)*C42^2</f>
        <v>20.49259005184453</v>
      </c>
      <c r="D54" s="201">
        <f t="shared" ref="D54:F54" si="12">Piramide(D42^2, (   D42 + 2*(D43)*TAN(RADIANS(       IF($C$13=$C$14,$C$8,$C$8*0.5)       ))   )^2, D43)
    -(D43)*D42^2</f>
        <v>20.49259005184453</v>
      </c>
      <c r="E54" s="201">
        <f t="shared" si="12"/>
        <v>20.49259005184453</v>
      </c>
      <c r="F54" s="201">
        <f t="shared" si="12"/>
        <v>20.49259005184453</v>
      </c>
      <c r="G54" s="20" t="s">
        <v>60</v>
      </c>
      <c r="H54" s="28"/>
      <c r="I54" s="100" t="s">
        <v>409</v>
      </c>
      <c r="J54" s="203">
        <f>+-C58+C60</f>
        <v>-40.957158839881345</v>
      </c>
    </row>
    <row r="55" spans="1:12" ht="15.75" thickBot="1">
      <c r="A55" s="183"/>
      <c r="B55" s="196" t="s">
        <v>65</v>
      </c>
      <c r="C55" s="346">
        <f>+C54*$C$13</f>
        <v>331.97995883988136</v>
      </c>
      <c r="D55" s="201">
        <f t="shared" ref="D55:F55" si="13">+D54*$C$13</f>
        <v>331.97995883988136</v>
      </c>
      <c r="E55" s="201">
        <f t="shared" si="13"/>
        <v>331.97995883988136</v>
      </c>
      <c r="F55" s="201">
        <f t="shared" si="13"/>
        <v>331.97995883988136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0</v>
      </c>
    </row>
    <row r="56" spans="1:12" ht="15.75" thickBot="1">
      <c r="A56" s="183"/>
      <c r="B56" s="196" t="s">
        <v>66</v>
      </c>
      <c r="C56" s="346">
        <f>+C50*$C$14</f>
        <v>232.0812</v>
      </c>
      <c r="D56" s="5">
        <f t="shared" ref="D56:F56" si="14">+D50*$C$14</f>
        <v>232.0812</v>
      </c>
      <c r="E56" s="5">
        <f t="shared" si="14"/>
        <v>232.0812</v>
      </c>
      <c r="F56" s="5">
        <f t="shared" si="14"/>
        <v>232.0812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.75" thickBot="1">
      <c r="A57" s="183"/>
      <c r="B57" s="196" t="s">
        <v>67</v>
      </c>
      <c r="C57" s="346">
        <f>+C49*$C$12</f>
        <v>76.895999999999987</v>
      </c>
      <c r="D57" s="5">
        <f>+D49*$C$12</f>
        <v>76.895999999999987</v>
      </c>
      <c r="E57" s="5">
        <f t="shared" ref="E57:F57" si="15">+E49*$C$12</f>
        <v>76.895999999999987</v>
      </c>
      <c r="F57" s="5">
        <f t="shared" si="15"/>
        <v>76.895999999999987</v>
      </c>
      <c r="G57" s="25" t="s">
        <v>41</v>
      </c>
      <c r="H57" s="28"/>
      <c r="I57" s="100"/>
      <c r="J57" s="203"/>
    </row>
    <row r="58" spans="1:12" ht="15.75" thickBot="1">
      <c r="A58" s="183"/>
      <c r="B58" s="230" t="s">
        <v>68</v>
      </c>
      <c r="C58" s="346">
        <f>+C55+C56+C57</f>
        <v>640.95715883988134</v>
      </c>
      <c r="D58" s="231">
        <f>+D55+D56+D57</f>
        <v>640.95715883988134</v>
      </c>
      <c r="E58" s="231">
        <f t="shared" ref="E58:F58" si="16">+E55+E56+E57</f>
        <v>640.95715883988134</v>
      </c>
      <c r="F58" s="231">
        <f t="shared" si="16"/>
        <v>640.95715883988134</v>
      </c>
      <c r="G58" s="25" t="s">
        <v>41</v>
      </c>
      <c r="H58" s="28"/>
      <c r="I58" s="100"/>
      <c r="J58" s="203"/>
    </row>
    <row r="59" spans="1:12">
      <c r="A59" s="252"/>
      <c r="B59" s="196" t="s">
        <v>69</v>
      </c>
      <c r="C59" s="356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92" t="s">
        <v>70</v>
      </c>
      <c r="C60" s="356">
        <f>+$H$23</f>
        <v>600</v>
      </c>
      <c r="D60" s="169">
        <f t="shared" ref="D60:F60" si="17">+$H$23</f>
        <v>600</v>
      </c>
      <c r="E60" s="169">
        <f t="shared" si="17"/>
        <v>600</v>
      </c>
      <c r="F60" s="169">
        <f t="shared" si="17"/>
        <v>600</v>
      </c>
      <c r="G60" s="25" t="s">
        <v>41</v>
      </c>
      <c r="H60" s="28"/>
      <c r="I60" s="100"/>
      <c r="J60" s="203"/>
    </row>
    <row r="61" spans="1:12">
      <c r="A61" s="183"/>
      <c r="B61" s="362" t="s">
        <v>299</v>
      </c>
      <c r="C61" s="362">
        <f>+C58/C60</f>
        <v>1.0682619313998023</v>
      </c>
      <c r="D61" s="17">
        <f t="shared" ref="D61:F61" si="18">+D58/D60</f>
        <v>1.0682619313998023</v>
      </c>
      <c r="E61" s="17">
        <f t="shared" si="18"/>
        <v>1.0682619313998023</v>
      </c>
      <c r="F61" s="17">
        <f t="shared" si="18"/>
        <v>1.0682619313998023</v>
      </c>
      <c r="G61" s="191"/>
      <c r="H61" s="28"/>
      <c r="I61" s="162" t="s">
        <v>301</v>
      </c>
      <c r="J61" s="203">
        <f>+MIN(C61:F61)</f>
        <v>1.0682619313998023</v>
      </c>
      <c r="K61" t="s">
        <v>307</v>
      </c>
      <c r="L61">
        <v>1.5</v>
      </c>
    </row>
    <row r="62" spans="1:12" ht="15.75" thickBot="1">
      <c r="A62" s="183"/>
      <c r="B62" s="1" t="s">
        <v>71</v>
      </c>
      <c r="C62" s="175" t="str">
        <f>+IF(C61&gt;1.5,"OK","NO CUMPLE")</f>
        <v>NO CUMPLE</v>
      </c>
      <c r="D62" s="359" t="str">
        <f t="shared" ref="D62:F62" si="19">+IF(D61&gt;1.5,"OK","NO CUMPLE")</f>
        <v>NO CUMPLE</v>
      </c>
      <c r="E62" s="175" t="str">
        <f t="shared" si="19"/>
        <v>NO CUMPLE</v>
      </c>
      <c r="F62" s="175" t="str">
        <f t="shared" si="19"/>
        <v>NO CUMPLE</v>
      </c>
      <c r="G62" s="4"/>
      <c r="H62" s="28"/>
      <c r="I62" s="100"/>
      <c r="J62" s="203"/>
    </row>
    <row r="63" spans="1:12" ht="15.75" thickBot="1">
      <c r="A63" s="183"/>
      <c r="B63" s="1" t="s">
        <v>72</v>
      </c>
      <c r="C63" s="358">
        <v>1</v>
      </c>
      <c r="D63" s="360">
        <v>2</v>
      </c>
      <c r="E63" s="18">
        <v>3</v>
      </c>
      <c r="F63" s="1">
        <v>4</v>
      </c>
      <c r="G63" s="192"/>
      <c r="H63" s="28"/>
      <c r="I63" s="247"/>
      <c r="J63" s="203"/>
    </row>
    <row r="64" spans="1:12">
      <c r="A64" s="183"/>
      <c r="B64" s="1" t="s">
        <v>327</v>
      </c>
      <c r="C64" s="356">
        <f>C43</f>
        <v>3</v>
      </c>
      <c r="D64" s="169">
        <f>+C64</f>
        <v>3</v>
      </c>
      <c r="E64" s="5">
        <f t="shared" ref="E64" si="20">+D64</f>
        <v>3</v>
      </c>
      <c r="F64" s="5">
        <f>+E64</f>
        <v>3</v>
      </c>
      <c r="G64" s="20" t="s">
        <v>50</v>
      </c>
      <c r="H64" s="28"/>
      <c r="I64" s="100"/>
      <c r="J64" s="203"/>
    </row>
    <row r="65" spans="1:11">
      <c r="A65" s="183"/>
      <c r="B65" s="1" t="s">
        <v>73</v>
      </c>
      <c r="C65" s="5">
        <f>+C64</f>
        <v>3</v>
      </c>
      <c r="D65" s="5">
        <f>+D64</f>
        <v>3</v>
      </c>
      <c r="E65" s="5">
        <f t="shared" ref="E65" si="21">+E64</f>
        <v>3</v>
      </c>
      <c r="F65" s="5">
        <f>+F64</f>
        <v>3</v>
      </c>
      <c r="G65" s="20" t="s">
        <v>50</v>
      </c>
      <c r="H65" s="28"/>
      <c r="I65" s="100"/>
      <c r="J65" s="203"/>
    </row>
    <row r="66" spans="1:11">
      <c r="A66" s="183"/>
      <c r="B66" s="1" t="s">
        <v>74</v>
      </c>
      <c r="C66" s="356">
        <f>+C90</f>
        <v>53.192699999999974</v>
      </c>
      <c r="D66" s="5">
        <f>+C66</f>
        <v>53.192699999999974</v>
      </c>
      <c r="E66" s="5">
        <f t="shared" ref="E66:F66" si="22">+D66</f>
        <v>53.192699999999974</v>
      </c>
      <c r="F66" s="5">
        <f t="shared" si="22"/>
        <v>53.192699999999974</v>
      </c>
      <c r="G66" s="25" t="s">
        <v>41</v>
      </c>
      <c r="H66" s="28"/>
      <c r="I66" s="100"/>
      <c r="J66" s="203"/>
    </row>
    <row r="67" spans="1:11">
      <c r="A67" s="183"/>
      <c r="B67" s="1" t="s">
        <v>75</v>
      </c>
      <c r="C67" s="356">
        <f>+C66</f>
        <v>53.192699999999974</v>
      </c>
      <c r="D67" s="5">
        <f t="shared" ref="D67:F67" si="23">+C67</f>
        <v>53.192699999999974</v>
      </c>
      <c r="E67" s="5">
        <f t="shared" si="23"/>
        <v>53.192699999999974</v>
      </c>
      <c r="F67" s="5">
        <f t="shared" si="23"/>
        <v>53.192699999999974</v>
      </c>
      <c r="G67" s="25" t="s">
        <v>41</v>
      </c>
      <c r="H67" s="28"/>
      <c r="I67" s="100"/>
      <c r="J67" s="203"/>
    </row>
    <row r="68" spans="1:11">
      <c r="A68" s="183"/>
      <c r="B68" s="1" t="s">
        <v>434</v>
      </c>
      <c r="C68" s="356">
        <f>MAX(ABS($G$22))*(C43+C38)+MAX($H$22,0)*C42/2</f>
        <v>200</v>
      </c>
      <c r="D68" s="5">
        <f>+MAX(ABS($G$23))*(D43+D38)+MAX($H$23,0)*D42/2</f>
        <v>800</v>
      </c>
      <c r="E68" s="5">
        <f>+MAX(ABS($G$24))*(E43+E38)+MAX($H$24,0)*E42/2</f>
        <v>160</v>
      </c>
      <c r="F68" s="5">
        <f>+MAX(ABS($G$25))*(F43+F38)+MAX(0,$H$25)*F42/2</f>
        <v>460</v>
      </c>
      <c r="G68" s="25" t="s">
        <v>77</v>
      </c>
      <c r="H68" s="28"/>
      <c r="I68" s="100"/>
      <c r="J68" s="203"/>
    </row>
    <row r="69" spans="1:11">
      <c r="A69" s="183"/>
      <c r="B69" s="1" t="s">
        <v>433</v>
      </c>
      <c r="C69" s="356">
        <f>MAX(ABS($F$22))*(C43+C38)+MAX(0,$H$22)*C42/2</f>
        <v>100</v>
      </c>
      <c r="D69" s="5">
        <f>MAX(ABS($F$23))*(D43+D38)+MAX(0,$H$23)*D42/2</f>
        <v>840</v>
      </c>
      <c r="E69" s="5">
        <f>MAX(ABS($F$24))*(E43+E38)+MAX(0,$H$24)*E42/2</f>
        <v>240</v>
      </c>
      <c r="F69" s="5">
        <f>MAX(ABS($F$25))*(F43+F38)+MAX(0,$H$25)*F42/2</f>
        <v>260</v>
      </c>
      <c r="G69" s="25" t="s">
        <v>77</v>
      </c>
      <c r="H69" s="28"/>
      <c r="I69" s="100"/>
      <c r="J69" s="203"/>
    </row>
    <row r="70" spans="1:11">
      <c r="A70" s="183"/>
      <c r="B70" s="1" t="s">
        <v>79</v>
      </c>
      <c r="C70" s="361">
        <f>+(C58)*C42/2+C66*(C43-2/3*C64)</f>
        <v>822.34129060785756</v>
      </c>
      <c r="D70" s="5">
        <f>+(D58)*D42/2+D66*(D43-2/3*D64)</f>
        <v>822.34129060785756</v>
      </c>
      <c r="E70" s="5">
        <f t="shared" ref="E70:F70" si="24">+(E58)*E42/2+E66*(E43-2/3*E64)</f>
        <v>822.34129060785756</v>
      </c>
      <c r="F70" s="5">
        <f t="shared" si="24"/>
        <v>822.34129060785756</v>
      </c>
      <c r="G70" s="25" t="s">
        <v>77</v>
      </c>
      <c r="H70" s="28"/>
      <c r="I70" s="100"/>
      <c r="J70" s="203"/>
    </row>
    <row r="71" spans="1:11">
      <c r="A71" s="183"/>
      <c r="B71" s="1" t="s">
        <v>80</v>
      </c>
      <c r="C71" s="361">
        <f>+(C58)*C42/2+C67*(C43-2/3*C65)</f>
        <v>822.34129060785756</v>
      </c>
      <c r="D71" s="5">
        <f>+(D58)*D42/2+D67*(D43-2/3*D65)</f>
        <v>822.34129060785756</v>
      </c>
      <c r="E71" s="5">
        <f>+(E58)*E42/2+E67*(E43-2/3*E65)</f>
        <v>822.34129060785756</v>
      </c>
      <c r="F71" s="5">
        <f>+(F58)*F42/2+F67*(F43-2/3*F65)</f>
        <v>822.34129060785756</v>
      </c>
      <c r="G71" s="25" t="s">
        <v>77</v>
      </c>
      <c r="H71" s="28"/>
      <c r="I71" s="100"/>
      <c r="J71" s="203"/>
    </row>
    <row r="72" spans="1:11">
      <c r="A72" s="183"/>
      <c r="B72" s="221" t="s">
        <v>441</v>
      </c>
      <c r="C72" s="356">
        <f>+C58+IF($H$22&gt;0, 0,-C55-$H$22)</f>
        <v>1038.9772</v>
      </c>
      <c r="D72" s="5">
        <f>+D58+IF($H$23&gt;0,0,-D55-$H$23)</f>
        <v>640.95715883988134</v>
      </c>
      <c r="E72" s="5">
        <f>+E58+IF($H$24&gt;0,0,-E55-$H$24)</f>
        <v>308.97719999999998</v>
      </c>
      <c r="F72" s="5">
        <f>+F58+IF($H$25&gt;0,0,-F55-$H$25)</f>
        <v>640.95715883988134</v>
      </c>
      <c r="G72" s="25" t="s">
        <v>77</v>
      </c>
      <c r="H72" s="28"/>
      <c r="I72" s="100">
        <f>+(D$56+D$57+  IF(   $H$22&gt;0, 0, -$H$22   )  )</f>
        <v>1038.9772</v>
      </c>
      <c r="J72" s="100">
        <f>+D$42/2</f>
        <v>1.2</v>
      </c>
      <c r="K72" s="100"/>
    </row>
    <row r="73" spans="1:11">
      <c r="A73" s="183"/>
      <c r="B73" s="221" t="s">
        <v>435</v>
      </c>
      <c r="C73" s="5">
        <f>+C40+C47/3</f>
        <v>1.2666666666666666</v>
      </c>
      <c r="D73" s="5">
        <f t="shared" ref="D73:F73" si="25">+D40+D47/3</f>
        <v>1.2666666666666666</v>
      </c>
      <c r="E73" s="5">
        <f t="shared" si="25"/>
        <v>1.2666666666666666</v>
      </c>
      <c r="F73" s="5">
        <f t="shared" si="25"/>
        <v>1.2666666666666666</v>
      </c>
      <c r="G73" s="25"/>
      <c r="H73" s="28"/>
      <c r="I73" s="278">
        <f>+ D104</f>
        <v>53.192699999999974</v>
      </c>
      <c r="J73" s="203"/>
    </row>
    <row r="74" spans="1:11">
      <c r="A74" s="183"/>
      <c r="B74" s="221" t="s">
        <v>436</v>
      </c>
      <c r="C74" s="5">
        <f>+C40/3*(C43+2*C47)/(C43+C47)</f>
        <v>0.19523809523809524</v>
      </c>
      <c r="D74" s="5">
        <f t="shared" ref="D74:F74" si="26">+D40/3*(D43+2*D47)/(D43+D47)</f>
        <v>0.19523809523809524</v>
      </c>
      <c r="E74" s="5">
        <f t="shared" si="26"/>
        <v>0.19523809523809524</v>
      </c>
      <c r="F74" s="5">
        <f t="shared" si="26"/>
        <v>0.19523809523809524</v>
      </c>
      <c r="G74" s="25"/>
      <c r="H74" s="28"/>
      <c r="I74" s="100"/>
      <c r="J74" s="203"/>
    </row>
    <row r="75" spans="1:11">
      <c r="A75" s="183"/>
      <c r="B75" s="221" t="s">
        <v>437</v>
      </c>
      <c r="C75" s="5">
        <f>0.5*C47*$C$13*C47*C39*$C$10/$J$88</f>
        <v>20.533499999999989</v>
      </c>
      <c r="D75" s="5">
        <f>0.5*D47*$C$13*D47*D39*$C$10/$J$88</f>
        <v>20.533499999999989</v>
      </c>
      <c r="E75" s="5">
        <f>0.5*E47*$C$13*E47*E39*$C$10/$J$88</f>
        <v>20.533499999999989</v>
      </c>
      <c r="F75" s="5">
        <f>0.5*F47*$C$13*F47*F39*$C$10/$J$88</f>
        <v>20.533499999999989</v>
      </c>
      <c r="G75" s="25"/>
      <c r="H75" s="28"/>
      <c r="I75" s="100"/>
      <c r="J75" s="203"/>
    </row>
    <row r="76" spans="1:11">
      <c r="A76" s="183"/>
      <c r="B76" s="221" t="s">
        <v>438</v>
      </c>
      <c r="C76" s="5">
        <f>0.5*(C47*$C$13+C43*$C$13)*C40*C42*$C$10/$J$88</f>
        <v>32.659199999999984</v>
      </c>
      <c r="D76" s="5">
        <f>0.5*(D47*$C$13+D43*$C$13)*D40*D42*$C$10/$J$88</f>
        <v>32.659199999999984</v>
      </c>
      <c r="E76" s="5">
        <f>0.5*(E47*$C$13+E43*$C$13)*E40*E42*$C$10/$J$88</f>
        <v>32.659199999999984</v>
      </c>
      <c r="F76" s="5">
        <f>0.5*(F47*$C$13+F43*$C$13)*F40*F42*$C$10/$J$88</f>
        <v>32.659199999999984</v>
      </c>
      <c r="G76" s="25"/>
      <c r="H76" s="28"/>
      <c r="I76" s="100"/>
      <c r="J76" s="203"/>
    </row>
    <row r="77" spans="1:11">
      <c r="A77" s="183"/>
      <c r="B77" s="221" t="s">
        <v>439</v>
      </c>
      <c r="C77" s="6">
        <f>+C75+C76</f>
        <v>53.192699999999974</v>
      </c>
      <c r="D77" s="5">
        <f t="shared" ref="D77:F77" si="27">+D75+D76</f>
        <v>53.192699999999974</v>
      </c>
      <c r="E77" s="5">
        <f t="shared" si="27"/>
        <v>53.192699999999974</v>
      </c>
      <c r="F77" s="5">
        <f t="shared" si="27"/>
        <v>53.192699999999974</v>
      </c>
      <c r="G77" s="25"/>
      <c r="H77" s="28"/>
      <c r="I77" s="100"/>
      <c r="J77" s="203"/>
    </row>
    <row r="78" spans="1:11">
      <c r="A78" s="183"/>
      <c r="B78" s="221" t="s">
        <v>440</v>
      </c>
      <c r="C78" s="6">
        <f>+(C73*C75+C74*C76)/C77</f>
        <v>0.6088320389827927</v>
      </c>
      <c r="D78" s="5">
        <f t="shared" ref="D78:F78" si="28">+(D73*D75+D74*D76)/D77</f>
        <v>0.6088320389827927</v>
      </c>
      <c r="E78" s="5">
        <f t="shared" si="28"/>
        <v>0.6088320389827927</v>
      </c>
      <c r="F78" s="5">
        <f t="shared" si="28"/>
        <v>0.6088320389827927</v>
      </c>
      <c r="G78" s="25"/>
      <c r="H78" s="28"/>
      <c r="I78" s="100"/>
      <c r="J78" s="203"/>
    </row>
    <row r="79" spans="1:11">
      <c r="A79" s="183"/>
      <c r="B79" s="221" t="s">
        <v>79</v>
      </c>
      <c r="C79" s="356">
        <f>+C72*C42/2+C77*C78</f>
        <v>1279.15806</v>
      </c>
      <c r="D79" s="5">
        <f t="shared" ref="D79:F79" si="29">+D72*D42/2+D77*D78</f>
        <v>801.53401060785757</v>
      </c>
      <c r="E79" s="5">
        <f t="shared" si="29"/>
        <v>403.15805999999998</v>
      </c>
      <c r="F79" s="5">
        <f t="shared" si="29"/>
        <v>801.53401060785757</v>
      </c>
      <c r="G79" s="25">
        <f>+C77*C78</f>
        <v>32.385419999999982</v>
      </c>
      <c r="H79" s="28"/>
      <c r="I79" s="100"/>
      <c r="J79" s="203"/>
    </row>
    <row r="80" spans="1:11">
      <c r="A80" s="183"/>
      <c r="B80" s="221" t="s">
        <v>80</v>
      </c>
      <c r="C80" s="356">
        <f>+C72*C42/2+C77*C78</f>
        <v>1279.15806</v>
      </c>
      <c r="D80" s="5">
        <f>+D72*D42/2+D77*D78</f>
        <v>801.53401060785757</v>
      </c>
      <c r="E80" s="5">
        <f t="shared" ref="E80:F80" si="30">+E72*E42/2+E77*E78</f>
        <v>403.15805999999998</v>
      </c>
      <c r="F80" s="5">
        <f t="shared" si="30"/>
        <v>801.53401060785757</v>
      </c>
      <c r="G80" s="25"/>
      <c r="H80" s="28"/>
      <c r="I80" s="100"/>
      <c r="J80" s="203"/>
    </row>
    <row r="81" spans="1:12">
      <c r="A81" s="183"/>
      <c r="B81" s="363" t="s">
        <v>300</v>
      </c>
      <c r="C81" s="356">
        <f>+MIN(C79/C68,C80/C69)</f>
        <v>6.3957902999999998</v>
      </c>
      <c r="D81" s="5">
        <f>+MIN(D79/D68,D80/D69)</f>
        <v>0.95420715548554469</v>
      </c>
      <c r="E81" s="5">
        <f>+MIN(E79/E68,E80/E69)</f>
        <v>1.6798252499999999</v>
      </c>
      <c r="F81" s="5">
        <f>+MIN(F79/F68,F80/F69)</f>
        <v>1.7424652404518644</v>
      </c>
      <c r="G81" s="25"/>
      <c r="H81" s="28"/>
      <c r="I81" s="100"/>
      <c r="J81" s="203"/>
    </row>
    <row r="82" spans="1:12">
      <c r="A82" s="183"/>
      <c r="B82" s="221"/>
      <c r="C82" s="5"/>
      <c r="D82" s="5"/>
      <c r="E82" s="5"/>
      <c r="F82" s="5"/>
      <c r="G82" s="25" t="s">
        <v>77</v>
      </c>
      <c r="H82" s="28"/>
      <c r="I82" s="100"/>
      <c r="J82" s="203"/>
    </row>
    <row r="83" spans="1:12" ht="15.75">
      <c r="A83" s="183"/>
      <c r="B83" s="176" t="s">
        <v>300</v>
      </c>
      <c r="C83" s="17">
        <f>+MIN(C70/C68,C71/C69)</f>
        <v>4.1117064530392877</v>
      </c>
      <c r="D83" s="17">
        <f>+MIN(D70/D68,D71/D69)</f>
        <v>0.97897772691411611</v>
      </c>
      <c r="E83" s="17">
        <f>+MIN(E70/E68,E71/E69)</f>
        <v>3.4264220441994064</v>
      </c>
      <c r="F83" s="17">
        <f>+MIN(F70/F68,F71/F69)</f>
        <v>1.7876984578431685</v>
      </c>
      <c r="G83" s="193"/>
      <c r="H83" s="28"/>
      <c r="I83" s="100" t="s">
        <v>302</v>
      </c>
      <c r="J83" s="203">
        <f>+MIN(C83:F83)</f>
        <v>0.97897772691411611</v>
      </c>
      <c r="K83" t="s">
        <v>307</v>
      </c>
      <c r="L83">
        <v>1.5</v>
      </c>
    </row>
    <row r="84" spans="1:12">
      <c r="A84" s="183"/>
      <c r="B84" s="1" t="s">
        <v>71</v>
      </c>
      <c r="C84" s="175" t="str">
        <f>+IF(C83&gt;1.5,"OK","NO CUMPLE")</f>
        <v>OK</v>
      </c>
      <c r="D84" s="175" t="str">
        <f t="shared" ref="D84:F84" si="31">+IF(D83&gt;1.5,"OK","NO CUMPLE")</f>
        <v>NO CUMPLE</v>
      </c>
      <c r="E84" s="175" t="str">
        <f t="shared" si="31"/>
        <v>OK</v>
      </c>
      <c r="F84" s="175" t="str">
        <f t="shared" si="31"/>
        <v>OK</v>
      </c>
      <c r="G84" s="194"/>
      <c r="H84" s="28"/>
      <c r="I84" s="100"/>
      <c r="J84" s="203"/>
    </row>
    <row r="85" spans="1:12">
      <c r="A85" s="183"/>
      <c r="B85" s="230" t="s">
        <v>81</v>
      </c>
      <c r="C85" s="246">
        <v>1</v>
      </c>
      <c r="D85" s="246">
        <v>2</v>
      </c>
      <c r="E85" s="1">
        <v>3</v>
      </c>
      <c r="F85" s="1">
        <v>4</v>
      </c>
      <c r="G85" s="192"/>
      <c r="H85" s="28"/>
      <c r="I85" s="100"/>
      <c r="J85" s="203" t="s">
        <v>417</v>
      </c>
    </row>
    <row r="86" spans="1:12">
      <c r="A86" s="183"/>
      <c r="B86" s="1" t="s">
        <v>413</v>
      </c>
      <c r="C86" s="357">
        <f>C56+C57-MIN($H$22)+IF($H$22&gt;0,C55)</f>
        <v>1038.9772</v>
      </c>
      <c r="D86" s="295">
        <f>D56+D57-MIN($H$23)+IF($H$23&gt;0,D55)</f>
        <v>40.957158839881345</v>
      </c>
      <c r="E86" s="6">
        <f>E56+E57-MIN($H$24)+IF($H$24&gt;0,E55)</f>
        <v>308.97719999999998</v>
      </c>
      <c r="F86" s="295">
        <f>F56+F57-MIN($H$25)+IF($H$25&gt;0,F55)</f>
        <v>490.95715883988134</v>
      </c>
      <c r="G86" s="25" t="s">
        <v>41</v>
      </c>
      <c r="H86" s="28"/>
      <c r="I86" s="100" t="s">
        <v>414</v>
      </c>
      <c r="J86" s="203">
        <v>1.5</v>
      </c>
    </row>
    <row r="87" spans="1:12">
      <c r="A87" s="183"/>
      <c r="B87" s="1" t="s">
        <v>83</v>
      </c>
      <c r="C87" s="356">
        <f>+MAX(ABS(F22))</f>
        <v>25</v>
      </c>
      <c r="D87" s="5">
        <f>+MAX(ABS(F23))</f>
        <v>30</v>
      </c>
      <c r="E87" s="5">
        <f>+MAX(ABS(F24))</f>
        <v>60</v>
      </c>
      <c r="F87" s="5">
        <f>+MAX(ABS(F25))</f>
        <v>20</v>
      </c>
      <c r="G87" s="25" t="s">
        <v>41</v>
      </c>
      <c r="H87" s="28"/>
      <c r="I87" s="100" t="s">
        <v>415</v>
      </c>
      <c r="J87" s="203">
        <v>4</v>
      </c>
    </row>
    <row r="88" spans="1:12">
      <c r="A88" s="183"/>
      <c r="B88" s="1" t="s">
        <v>84</v>
      </c>
      <c r="C88" s="356">
        <f>+MAX(ABS(G22))</f>
        <v>50</v>
      </c>
      <c r="D88" s="5">
        <f>+MAX(ABS(G23))</f>
        <v>20</v>
      </c>
      <c r="E88" s="5">
        <f>+MAX(ABS(G24))</f>
        <v>40</v>
      </c>
      <c r="F88" s="5">
        <f>+MAX(ABS(G25))</f>
        <v>70</v>
      </c>
      <c r="G88" s="25" t="s">
        <v>41</v>
      </c>
      <c r="H88" s="28"/>
      <c r="I88" s="100" t="s">
        <v>416</v>
      </c>
      <c r="J88" s="203">
        <v>4</v>
      </c>
    </row>
    <row r="89" spans="1:12">
      <c r="A89" s="183"/>
      <c r="B89" s="1" t="s">
        <v>85</v>
      </c>
      <c r="C89" s="5">
        <f>+IF($D$5="GRANULAR",C86*TAN($C$7*PI()/180)/$J$86,$C$9*C42^2/$J$87)</f>
        <v>399.90251073458904</v>
      </c>
      <c r="D89" s="5">
        <f>+IF($D$5="GRANULAR",D86*TAN($C$7*PI()/180)/$J$86,$C$9*D42^2/$J$87)</f>
        <v>15.764417787631835</v>
      </c>
      <c r="E89" s="5">
        <f>+IF($D$5="GRANULAR",E86*TAN($C$7*PI()/180)/$J$86,$C$9*E42^2/$J$87)</f>
        <v>118.92537972897121</v>
      </c>
      <c r="F89" s="5">
        <f>+IF($D$5="GRANULAR",F86*TAN($C$7*PI()/180)/$J$86,$C$9*F42^2/$J$87)</f>
        <v>188.96949854451955</v>
      </c>
      <c r="G89" s="25" t="s">
        <v>41</v>
      </c>
      <c r="H89" s="28" t="str">
        <f>+$D$5</f>
        <v>GRANULAR</v>
      </c>
      <c r="I89" s="100"/>
      <c r="J89" s="203"/>
    </row>
    <row r="90" spans="1:12">
      <c r="A90" s="183"/>
      <c r="B90" s="349" t="s">
        <v>86</v>
      </c>
      <c r="C90" s="356">
        <f>(1/2*C47*$C$13*C47*C39*$C$10
+1/2*(C47*$C$13+C43*$C$13)*C40*C42*$C$10)/$J$88</f>
        <v>53.192699999999974</v>
      </c>
      <c r="D90" s="5">
        <f>(1/2*D47*$C$13*D47*D39*$C$10
+1/2*(D47*$C$13+D43*$C$13)*D40*D42*$C$10)/$J$88</f>
        <v>53.192699999999974</v>
      </c>
      <c r="E90" s="5">
        <f>(1/2*E47*$C$13*E47*E39*$C$10
+1/2*(E47*$C$13+E43*$C$13)*E40*E42*$C$10)/$J$88</f>
        <v>53.192699999999974</v>
      </c>
      <c r="F90" s="5">
        <f>(1/2*F47*$C$13*F47*F39*$C$10
+1/2*(F47*$C$13+F43*$C$13)*F40*F42*$C$10)/$J$88</f>
        <v>53.192699999999974</v>
      </c>
      <c r="G90" s="25" t="s">
        <v>41</v>
      </c>
      <c r="H90" s="28"/>
      <c r="I90" s="100"/>
      <c r="J90" s="203"/>
    </row>
    <row r="91" spans="1:12">
      <c r="A91" s="183"/>
      <c r="B91" s="1" t="s">
        <v>87</v>
      </c>
      <c r="C91" s="5" t="s">
        <v>412</v>
      </c>
      <c r="D91" s="5" t="s">
        <v>412</v>
      </c>
      <c r="E91" s="5" t="s">
        <v>412</v>
      </c>
      <c r="F91" s="5" t="s">
        <v>412</v>
      </c>
      <c r="G91" s="25" t="s">
        <v>41</v>
      </c>
      <c r="H91" s="28"/>
      <c r="I91" s="100"/>
      <c r="J91" s="203"/>
    </row>
    <row r="92" spans="1:12">
      <c r="A92" s="183"/>
      <c r="B92" s="349" t="s">
        <v>88</v>
      </c>
      <c r="C92" s="5">
        <f>+C89+C90</f>
        <v>453.09521073458905</v>
      </c>
      <c r="D92" s="5">
        <f t="shared" ref="D92:F92" si="32">+D89+D90</f>
        <v>68.957117787631802</v>
      </c>
      <c r="E92" s="5">
        <f t="shared" si="32"/>
        <v>172.11807972897117</v>
      </c>
      <c r="F92" s="5">
        <f t="shared" si="32"/>
        <v>242.16219854451953</v>
      </c>
      <c r="G92" s="25" t="s">
        <v>41</v>
      </c>
      <c r="H92" s="28"/>
      <c r="I92" s="100"/>
      <c r="J92" s="203"/>
    </row>
    <row r="93" spans="1:12">
      <c r="A93" s="183"/>
      <c r="B93" s="1" t="s">
        <v>412</v>
      </c>
      <c r="C93" s="5">
        <f>+C92-C87</f>
        <v>428.09521073458905</v>
      </c>
      <c r="D93" s="5">
        <f t="shared" ref="D93:F93" si="33">+D92-D87</f>
        <v>38.957117787631802</v>
      </c>
      <c r="E93" s="5">
        <f t="shared" si="33"/>
        <v>112.11807972897117</v>
      </c>
      <c r="F93" s="5">
        <f t="shared" si="33"/>
        <v>222.16219854451953</v>
      </c>
      <c r="G93" s="348"/>
      <c r="H93" s="28"/>
      <c r="I93" s="100"/>
      <c r="J93" s="203"/>
    </row>
    <row r="94" spans="1:12">
      <c r="A94" s="183"/>
      <c r="B94" s="1" t="s">
        <v>418</v>
      </c>
      <c r="C94" s="5">
        <f>+C92-C88</f>
        <v>403.09521073458905</v>
      </c>
      <c r="D94" s="5">
        <f t="shared" ref="D94:F94" si="34">+D92-D88</f>
        <v>48.957117787631802</v>
      </c>
      <c r="E94" s="5">
        <f t="shared" si="34"/>
        <v>132.11807972897117</v>
      </c>
      <c r="F94" s="5">
        <f t="shared" si="34"/>
        <v>172.16219854451953</v>
      </c>
      <c r="G94" s="348"/>
      <c r="H94" s="28"/>
      <c r="I94" s="100"/>
      <c r="J94" s="203"/>
    </row>
    <row r="95" spans="1:12">
      <c r="A95" s="183"/>
      <c r="B95" s="362" t="s">
        <v>89</v>
      </c>
      <c r="C95" s="356">
        <f>+C92/ (  MAX(C87:C88)  )</f>
        <v>9.061904214691781</v>
      </c>
      <c r="D95" s="248">
        <f t="shared" ref="D95:F95" si="35">+D92/ (  MAX(D87:D88)  )</f>
        <v>2.29857059292106</v>
      </c>
      <c r="E95" s="248">
        <f t="shared" si="35"/>
        <v>2.8686346621495193</v>
      </c>
      <c r="F95" s="248">
        <f t="shared" si="35"/>
        <v>3.4594599792074217</v>
      </c>
      <c r="G95" s="195"/>
      <c r="H95" s="28"/>
      <c r="I95" s="100" t="s">
        <v>303</v>
      </c>
      <c r="J95" s="203">
        <f>+MIN(C95:F95)</f>
        <v>2.29857059292106</v>
      </c>
      <c r="K95" t="s">
        <v>307</v>
      </c>
      <c r="L95">
        <v>1.5</v>
      </c>
    </row>
    <row r="96" spans="1:12" ht="15.75">
      <c r="A96" s="183"/>
      <c r="B96" s="176"/>
      <c r="C96" s="248"/>
      <c r="D96" s="248"/>
      <c r="E96" s="248"/>
      <c r="F96" s="248"/>
      <c r="G96" s="111"/>
      <c r="H96" s="28"/>
      <c r="I96" s="100"/>
      <c r="J96" s="203"/>
    </row>
    <row r="97" spans="1:10">
      <c r="A97" s="183"/>
      <c r="B97" s="1" t="s">
        <v>90</v>
      </c>
      <c r="C97" s="1">
        <v>1.5</v>
      </c>
      <c r="D97" s="1">
        <v>1.5</v>
      </c>
      <c r="E97" s="1">
        <v>1.5</v>
      </c>
      <c r="F97" s="1">
        <v>1.5</v>
      </c>
      <c r="G97" s="194"/>
      <c r="H97" s="28"/>
      <c r="I97" s="100"/>
      <c r="J97" s="203"/>
    </row>
    <row r="98" spans="1:10">
      <c r="A98" s="183"/>
      <c r="B98" s="1" t="s">
        <v>71</v>
      </c>
      <c r="C98" s="175" t="str">
        <f>+IF(C95&gt;C97,"OK","NO CUMPLE")</f>
        <v>OK</v>
      </c>
      <c r="D98" s="175" t="str">
        <f t="shared" ref="D98:F98" si="36">+IF(D95&gt;D97,"OK","NO CUMPLE")</f>
        <v>OK</v>
      </c>
      <c r="E98" s="175" t="str">
        <f t="shared" si="36"/>
        <v>OK</v>
      </c>
      <c r="F98" s="175" t="str">
        <f t="shared" si="36"/>
        <v>OK</v>
      </c>
      <c r="G98" s="194"/>
      <c r="H98" s="28"/>
      <c r="I98" s="100"/>
      <c r="J98" s="203"/>
    </row>
    <row r="99" spans="1:10" ht="15.75" thickBot="1">
      <c r="A99" s="252"/>
      <c r="C99" s="12"/>
      <c r="D99" s="12"/>
      <c r="E99" s="12"/>
      <c r="F99" s="12"/>
      <c r="H99" s="28"/>
      <c r="I99" s="100"/>
      <c r="J99" s="203"/>
    </row>
    <row r="100" spans="1:10" ht="15.75" thickBot="1">
      <c r="A100" s="200">
        <v>4.2</v>
      </c>
      <c r="B100" s="200" t="s">
        <v>91</v>
      </c>
      <c r="C100" s="31"/>
      <c r="H100" s="28"/>
      <c r="I100" s="100"/>
      <c r="J100" s="203"/>
    </row>
    <row r="101" spans="1:10" hidden="1">
      <c r="A101" s="252"/>
      <c r="B101" s="233" t="s">
        <v>92</v>
      </c>
      <c r="C101" s="232">
        <v>1</v>
      </c>
      <c r="D101" s="232">
        <v>1</v>
      </c>
      <c r="E101" s="232">
        <v>1</v>
      </c>
      <c r="F101" s="232">
        <v>1</v>
      </c>
      <c r="G101" s="192"/>
      <c r="H101" s="28"/>
      <c r="I101" s="100"/>
      <c r="J101" s="203"/>
    </row>
    <row r="102" spans="1:10" hidden="1">
      <c r="A102" s="183"/>
      <c r="B102" s="1" t="s">
        <v>93</v>
      </c>
      <c r="C102" s="201">
        <f>+$C$43</f>
        <v>3</v>
      </c>
      <c r="D102" s="201">
        <f t="shared" ref="D102:F103" si="37">+$C$43</f>
        <v>3</v>
      </c>
      <c r="E102" s="201">
        <f t="shared" si="37"/>
        <v>3</v>
      </c>
      <c r="F102" s="201">
        <f t="shared" si="37"/>
        <v>3</v>
      </c>
      <c r="G102" s="20" t="s">
        <v>50</v>
      </c>
      <c r="H102" s="28"/>
      <c r="I102" s="100"/>
      <c r="J102" s="203"/>
    </row>
    <row r="103" spans="1:10" hidden="1">
      <c r="A103" s="238"/>
      <c r="B103" s="1" t="s">
        <v>94</v>
      </c>
      <c r="C103" s="201">
        <f t="shared" ref="C103" si="38">+$C$43</f>
        <v>3</v>
      </c>
      <c r="D103" s="201">
        <f t="shared" si="37"/>
        <v>3</v>
      </c>
      <c r="E103" s="201">
        <f t="shared" si="37"/>
        <v>3</v>
      </c>
      <c r="F103" s="201">
        <f t="shared" si="37"/>
        <v>3</v>
      </c>
      <c r="G103" s="20" t="s">
        <v>50</v>
      </c>
      <c r="H103" s="28"/>
      <c r="I103" s="100"/>
      <c r="J103" s="203"/>
    </row>
    <row r="104" spans="1:10" hidden="1">
      <c r="A104" s="183"/>
      <c r="B104" s="1" t="s">
        <v>74</v>
      </c>
      <c r="C104" s="201">
        <f>+$C$77</f>
        <v>53.192699999999974</v>
      </c>
      <c r="D104" s="201">
        <f t="shared" ref="D104:F105" si="39">+$C$77</f>
        <v>53.192699999999974</v>
      </c>
      <c r="E104" s="201">
        <f t="shared" si="39"/>
        <v>53.192699999999974</v>
      </c>
      <c r="F104" s="201">
        <f t="shared" si="39"/>
        <v>53.192699999999974</v>
      </c>
      <c r="G104" s="25" t="s">
        <v>41</v>
      </c>
      <c r="H104" s="28"/>
      <c r="I104" s="100"/>
      <c r="J104" s="203"/>
    </row>
    <row r="105" spans="1:10" hidden="1">
      <c r="A105" s="238"/>
      <c r="B105" s="1" t="s">
        <v>75</v>
      </c>
      <c r="C105" s="201">
        <f t="shared" ref="C105" si="40">+$C$77</f>
        <v>53.192699999999974</v>
      </c>
      <c r="D105" s="201">
        <f t="shared" si="39"/>
        <v>53.192699999999974</v>
      </c>
      <c r="E105" s="201">
        <f t="shared" si="39"/>
        <v>53.192699999999974</v>
      </c>
      <c r="F105" s="201">
        <f t="shared" si="39"/>
        <v>53.192699999999974</v>
      </c>
      <c r="G105" s="25" t="s">
        <v>41</v>
      </c>
      <c r="H105" s="28"/>
      <c r="I105" s="100"/>
      <c r="J105" s="203"/>
    </row>
    <row r="106" spans="1:10" hidden="1">
      <c r="A106" s="183"/>
      <c r="B106" s="1" t="s">
        <v>76</v>
      </c>
      <c r="C106" s="201">
        <f>+($G$22)*(C$43+C$38)+ IF(   $H$22&gt;0, $H$22,0   )*C$42/2</f>
        <v>200</v>
      </c>
      <c r="D106" s="201">
        <f>+($G$22)*(D$43+D$38)+ IF(   $H$22&gt;0, $H$22,0   )*D$42/2</f>
        <v>200</v>
      </c>
      <c r="E106" s="201">
        <f>+($G$22)*(E$43+E$38)+ IF(   $H$22&gt;0, $H$22,0   )*E$42/2</f>
        <v>200</v>
      </c>
      <c r="F106" s="201">
        <f>+($G$22)*(F$43+F$38)+ IF(   $H$22&gt;0, $H$22,0   )*F$42/2</f>
        <v>200</v>
      </c>
      <c r="G106" s="25" t="s">
        <v>77</v>
      </c>
      <c r="H106" s="28"/>
      <c r="I106" s="100"/>
      <c r="J106" s="203"/>
    </row>
    <row r="107" spans="1:10" hidden="1">
      <c r="A107" s="183"/>
      <c r="B107" s="1" t="s">
        <v>78</v>
      </c>
      <c r="C107" s="201">
        <f>+($F$22)*(C$43+C$38)+ IF(   $H$22&gt;0, $H$22,0   )*C$42/2</f>
        <v>100</v>
      </c>
      <c r="D107" s="201">
        <f>+($F$22)*(D$43+D$38)+ IF(   $H$22&gt;0, $H$22,0   )*D$42/2</f>
        <v>100</v>
      </c>
      <c r="E107" s="201">
        <f>+($F$22)*(E$43+E$38)+ IF(   $H$22&gt;0, $H$22,0   )*E$42/2</f>
        <v>100</v>
      </c>
      <c r="F107" s="201">
        <f>+($F$22)*(F$43+F$38)+ IF(   $H$22&gt;0, $H$22,0   )*F$42/2</f>
        <v>100</v>
      </c>
      <c r="G107" s="25" t="s">
        <v>77</v>
      </c>
      <c r="H107" s="28"/>
      <c r="I107" s="100"/>
      <c r="J107" s="203"/>
    </row>
    <row r="108" spans="1:10" hidden="1">
      <c r="A108" s="183"/>
      <c r="B108" s="1" t="s">
        <v>79</v>
      </c>
      <c r="C108" s="201">
        <f>+INDEX($C$79:$F$80,1,$H108)</f>
        <v>1279.15806</v>
      </c>
      <c r="D108" s="201">
        <f t="shared" ref="D108:F108" si="41">+INDEX($C$79:$F$80,1,$H108)</f>
        <v>1279.15806</v>
      </c>
      <c r="E108" s="201">
        <f t="shared" si="41"/>
        <v>1279.15806</v>
      </c>
      <c r="F108" s="201">
        <f t="shared" si="41"/>
        <v>1279.15806</v>
      </c>
      <c r="G108" s="25" t="s">
        <v>77</v>
      </c>
      <c r="H108" s="28">
        <v>1</v>
      </c>
      <c r="I108" s="100"/>
      <c r="J108" s="203"/>
    </row>
    <row r="109" spans="1:10" hidden="1">
      <c r="A109" s="183"/>
      <c r="B109" s="1" t="s">
        <v>80</v>
      </c>
      <c r="C109" s="201">
        <f>+C108</f>
        <v>1279.15806</v>
      </c>
      <c r="D109" s="201">
        <f t="shared" ref="D109:F109" si="42">+D108</f>
        <v>1279.15806</v>
      </c>
      <c r="E109" s="201">
        <f t="shared" si="42"/>
        <v>1279.15806</v>
      </c>
      <c r="F109" s="201">
        <f t="shared" si="42"/>
        <v>1279.15806</v>
      </c>
      <c r="G109" s="25" t="s">
        <v>77</v>
      </c>
      <c r="H109" s="28">
        <v>1</v>
      </c>
      <c r="I109" s="100"/>
      <c r="J109" s="203"/>
    </row>
    <row r="110" spans="1:10" hidden="1">
      <c r="A110" s="183"/>
      <c r="B110" s="1" t="s">
        <v>95</v>
      </c>
      <c r="C110" s="201">
        <f>+C113*C112</f>
        <v>67.614579999999989</v>
      </c>
      <c r="D110" s="201">
        <f>+D113*D112</f>
        <v>67.614579999999989</v>
      </c>
      <c r="E110" s="201">
        <f>+E113*E112</f>
        <v>67.614579999999989</v>
      </c>
      <c r="F110" s="201">
        <f>+F113*F112</f>
        <v>67.614579999999989</v>
      </c>
      <c r="G110" s="25" t="s">
        <v>77</v>
      </c>
      <c r="H110" s="28"/>
      <c r="I110" s="100"/>
      <c r="J110" s="203"/>
    </row>
    <row r="111" spans="1:10" hidden="1">
      <c r="A111" s="183"/>
      <c r="B111" s="1" t="s">
        <v>96</v>
      </c>
      <c r="C111" s="201">
        <f>+C114*C112</f>
        <v>167.61458000000002</v>
      </c>
      <c r="D111" s="201">
        <f>+D114*D112</f>
        <v>167.61458000000002</v>
      </c>
      <c r="E111" s="201">
        <f>+E114*E112</f>
        <v>167.61458000000002</v>
      </c>
      <c r="F111" s="201">
        <f>+F114*F112</f>
        <v>167.61458000000002</v>
      </c>
      <c r="G111" s="25" t="s">
        <v>77</v>
      </c>
      <c r="H111" s="28"/>
      <c r="I111" s="100"/>
      <c r="J111" s="203"/>
    </row>
    <row r="112" spans="1:10" hidden="1">
      <c r="A112" s="183"/>
      <c r="B112" s="1" t="s">
        <v>82</v>
      </c>
      <c r="C112" s="202">
        <f>+C$56+C$57+  IF(   $H$22&gt;0, -$H$22, -$H$22   )</f>
        <v>1038.9772</v>
      </c>
      <c r="D112" s="202">
        <f>+D$56+D$57+  IF(   $H$22&gt;0, -$H$22, -$H$22   )</f>
        <v>1038.9772</v>
      </c>
      <c r="E112" s="202">
        <f>+E$56+E$57+  IF(   $H$22&gt;0, -$H$22, -$H$22   )</f>
        <v>1038.9772</v>
      </c>
      <c r="F112" s="202">
        <f>+F$56+F$57+  IF(   $H$22&gt;0, -$H$22, -$H$22   )</f>
        <v>1038.9772</v>
      </c>
      <c r="G112" s="25" t="s">
        <v>41</v>
      </c>
      <c r="H112" s="28"/>
      <c r="I112" s="100"/>
      <c r="J112" s="203"/>
    </row>
    <row r="113" spans="1:12" hidden="1">
      <c r="A113" s="183"/>
      <c r="B113" s="1" t="s">
        <v>97</v>
      </c>
      <c r="C113" s="202">
        <f>+ABS(C$42/2-(C109-C107)/C112)</f>
        <v>6.5078020961383931E-2</v>
      </c>
      <c r="D113" s="202">
        <f>+ABS(D$42/2-(D109-D107)/D112)</f>
        <v>6.5078020961383931E-2</v>
      </c>
      <c r="E113" s="202">
        <f>+ABS(E$42/2-(E109-E107)/E112)</f>
        <v>6.5078020961383931E-2</v>
      </c>
      <c r="F113" s="202">
        <f>+ABS(F$42/2-(F109-F107)/F112)</f>
        <v>6.5078020961383931E-2</v>
      </c>
      <c r="G113" s="26" t="s">
        <v>50</v>
      </c>
      <c r="H113" s="28"/>
      <c r="I113" s="100"/>
      <c r="J113" s="203"/>
    </row>
    <row r="114" spans="1:12" hidden="1">
      <c r="A114" s="183"/>
      <c r="B114" s="1" t="s">
        <v>98</v>
      </c>
      <c r="C114" s="202">
        <f>+ABS(C$42/2-(C108-C106)/C112)</f>
        <v>0.16132652381592205</v>
      </c>
      <c r="D114" s="202">
        <f>+ABS(D$42/2-(D108-D106)/D112)</f>
        <v>0.16132652381592205</v>
      </c>
      <c r="E114" s="202">
        <f>+ABS(E$42/2-(E108-E106)/E112)</f>
        <v>0.16132652381592205</v>
      </c>
      <c r="F114" s="202">
        <f>+ABS(F$42/2-(F108-F106)/F112)</f>
        <v>0.16132652381592205</v>
      </c>
      <c r="G114" s="27" t="s">
        <v>50</v>
      </c>
      <c r="H114" s="28"/>
      <c r="I114" s="100"/>
      <c r="J114" s="203"/>
    </row>
    <row r="115" spans="1:12" hidden="1">
      <c r="A115" s="183"/>
      <c r="B115" s="1" t="s">
        <v>99</v>
      </c>
      <c r="C115" s="201">
        <f>+C$42/6</f>
        <v>0.39999999999999997</v>
      </c>
      <c r="D115" s="201">
        <f>+D$42/6</f>
        <v>0.39999999999999997</v>
      </c>
      <c r="E115" s="201">
        <f>+E$42/6</f>
        <v>0.39999999999999997</v>
      </c>
      <c r="F115" s="201">
        <f>+F$42/6</f>
        <v>0.39999999999999997</v>
      </c>
      <c r="G115" s="20" t="s">
        <v>50</v>
      </c>
      <c r="H115" s="28"/>
      <c r="I115" s="100"/>
      <c r="J115" s="203"/>
    </row>
    <row r="116" spans="1:12" hidden="1">
      <c r="A116" s="183"/>
      <c r="B116" s="1" t="s">
        <v>100</v>
      </c>
      <c r="C116" s="229"/>
      <c r="D116" s="229"/>
      <c r="E116" s="229"/>
      <c r="F116" s="229"/>
      <c r="G116" s="197"/>
      <c r="H116" s="28"/>
      <c r="I116" s="100"/>
      <c r="J116" s="203"/>
    </row>
    <row r="117" spans="1:12" hidden="1">
      <c r="A117" s="183"/>
      <c r="B117" s="198" t="s">
        <v>101</v>
      </c>
      <c r="C117" s="17">
        <f>+(C112/C$42^2)*(1+6*C113/C$42+6*C114/C$42)</f>
        <v>282.47397569444445</v>
      </c>
      <c r="D117" s="17">
        <f>+(D112/D$42^2)*(1+6*D113/D$42+6*D114/D$42)</f>
        <v>282.47397569444445</v>
      </c>
      <c r="E117" s="17">
        <f>+(E112/E$42^2)*(1+6*E113/E$42+6*E114/E$42)</f>
        <v>282.47397569444445</v>
      </c>
      <c r="F117" s="17">
        <f>+(F112/F$42^2)*(1+6*F113/F$42+6*F114/F$42)</f>
        <v>282.47397569444445</v>
      </c>
      <c r="G117" s="18" t="s">
        <v>13</v>
      </c>
      <c r="H117" s="28"/>
      <c r="I117" s="100"/>
      <c r="J117" s="203"/>
    </row>
    <row r="118" spans="1:12" hidden="1">
      <c r="A118" s="183"/>
      <c r="B118" s="199" t="s">
        <v>102</v>
      </c>
      <c r="C118" s="5">
        <f>+(C112/C$42^2)*(1+6*C113/C$42-6*C114/C$42)</f>
        <v>136.97520833333331</v>
      </c>
      <c r="D118" s="5">
        <f>+(D112/D$42^2)*(1+6*D113/D$42-6*D114/D$42)</f>
        <v>136.97520833333331</v>
      </c>
      <c r="E118" s="5">
        <f>+(E112/E$42^2)*(1+6*E113/E$42-6*E114/E$42)</f>
        <v>136.97520833333331</v>
      </c>
      <c r="F118" s="5">
        <f>+(F112/F$42^2)*(1+6*F113/F$42-6*F114/F$42)</f>
        <v>136.97520833333331</v>
      </c>
      <c r="G118" s="18" t="s">
        <v>13</v>
      </c>
      <c r="H118" s="28"/>
      <c r="I118" s="100"/>
      <c r="J118" s="203"/>
    </row>
    <row r="119" spans="1:12" hidden="1">
      <c r="A119" s="183"/>
      <c r="B119" s="199" t="s">
        <v>103</v>
      </c>
      <c r="C119" s="5">
        <f>+(C112/C$42^2)*(1-6*C113/C$42+6*C114/C$42)</f>
        <v>223.78076388888891</v>
      </c>
      <c r="D119" s="5">
        <f>+(D112/D$42^2)*(1-6*D113/D$42+6*D114/D$42)</f>
        <v>223.78076388888891</v>
      </c>
      <c r="E119" s="5">
        <f>+(E112/E$42^2)*(1-6*E113/E$42+6*E114/E$42)</f>
        <v>223.78076388888891</v>
      </c>
      <c r="F119" s="5">
        <f>+(F112/F$42^2)*(1-6*F113/F$42+6*F114/F$42)</f>
        <v>223.78076388888891</v>
      </c>
      <c r="G119" s="18" t="s">
        <v>13</v>
      </c>
      <c r="H119" s="28"/>
      <c r="I119" s="100"/>
      <c r="J119" s="203"/>
    </row>
    <row r="120" spans="1:12" hidden="1">
      <c r="A120" s="183"/>
      <c r="B120" s="198" t="s">
        <v>104</v>
      </c>
      <c r="C120" s="5">
        <f>+(C112/C$42^2)*(1-6*C113/C$42-6*C114/C$42)</f>
        <v>78.281996527777778</v>
      </c>
      <c r="D120" s="5">
        <f>+(D112/D$42^2)*(1-6*D113/D$42-6*D114/D$42)</f>
        <v>78.281996527777778</v>
      </c>
      <c r="E120" s="5">
        <f>+(E112/E$42^2)*(1-6*E113/E$42-6*E114/E$42)</f>
        <v>78.281996527777778</v>
      </c>
      <c r="F120" s="5">
        <f>+(F112/F$42^2)*(1-6*F113/F$42-6*F114/F$42)</f>
        <v>78.281996527777778</v>
      </c>
      <c r="G120" s="18" t="s">
        <v>13</v>
      </c>
      <c r="H120" s="28"/>
      <c r="I120" s="100" t="s">
        <v>304</v>
      </c>
      <c r="J120" s="203">
        <f>+MAX(C117:F120)</f>
        <v>282.47397569444445</v>
      </c>
      <c r="K120" t="s">
        <v>308</v>
      </c>
      <c r="L120" s="4">
        <f>+C121</f>
        <v>100</v>
      </c>
    </row>
    <row r="121" spans="1:12" ht="15.75" hidden="1">
      <c r="A121" s="183"/>
      <c r="B121" s="176" t="s">
        <v>105</v>
      </c>
      <c r="C121" s="17">
        <f>+$C$6</f>
        <v>100</v>
      </c>
      <c r="D121" s="17">
        <f>+$C$6</f>
        <v>100</v>
      </c>
      <c r="E121" s="17">
        <f>+$C$6</f>
        <v>100</v>
      </c>
      <c r="F121" s="17">
        <f>+$C$6</f>
        <v>100</v>
      </c>
      <c r="G121" s="18" t="s">
        <v>13</v>
      </c>
      <c r="H121" s="28"/>
      <c r="I121" s="100"/>
      <c r="J121" s="203"/>
    </row>
    <row r="122" spans="1:12" hidden="1">
      <c r="A122" s="183"/>
      <c r="B122" s="1" t="s">
        <v>71</v>
      </c>
      <c r="C122" s="175" t="str">
        <f>+IF(C117&lt;C121,"OK","NO CUMPLE")</f>
        <v>NO CUMPLE</v>
      </c>
      <c r="D122" s="175" t="str">
        <f t="shared" ref="D122:F122" si="43">+IF(D117&lt;D121,"OK","NO CUMPLE")</f>
        <v>NO CUMPLE</v>
      </c>
      <c r="E122" s="175" t="str">
        <f t="shared" si="43"/>
        <v>NO CUMPLE</v>
      </c>
      <c r="F122" s="175" t="str">
        <f t="shared" si="43"/>
        <v>NO CUMPLE</v>
      </c>
      <c r="H122" s="28"/>
      <c r="I122" s="100"/>
      <c r="J122" s="203"/>
    </row>
    <row r="123" spans="1:12" hidden="1">
      <c r="A123" s="183"/>
      <c r="B123" s="233" t="s">
        <v>92</v>
      </c>
      <c r="C123" s="232">
        <v>2</v>
      </c>
      <c r="D123" s="232">
        <v>2</v>
      </c>
      <c r="E123" s="232">
        <v>2</v>
      </c>
      <c r="F123" s="232">
        <v>2</v>
      </c>
      <c r="G123" s="192"/>
      <c r="H123" s="28"/>
      <c r="I123" s="100"/>
      <c r="J123" s="203"/>
    </row>
    <row r="124" spans="1:12" hidden="1">
      <c r="A124" s="183"/>
      <c r="B124" s="1" t="s">
        <v>93</v>
      </c>
      <c r="C124" s="201">
        <f>+$C$43</f>
        <v>3</v>
      </c>
      <c r="D124" s="201">
        <f t="shared" ref="D124:F125" si="44">+$C$43</f>
        <v>3</v>
      </c>
      <c r="E124" s="201">
        <f t="shared" si="44"/>
        <v>3</v>
      </c>
      <c r="F124" s="201">
        <f t="shared" si="44"/>
        <v>3</v>
      </c>
      <c r="G124" s="20" t="s">
        <v>50</v>
      </c>
      <c r="H124" s="28"/>
      <c r="I124" s="100"/>
      <c r="J124" s="203"/>
    </row>
    <row r="125" spans="1:12" hidden="1">
      <c r="A125" s="183"/>
      <c r="B125" s="1" t="s">
        <v>94</v>
      </c>
      <c r="C125" s="201">
        <f t="shared" ref="C125" si="45">+$C$43</f>
        <v>3</v>
      </c>
      <c r="D125" s="201">
        <f t="shared" si="44"/>
        <v>3</v>
      </c>
      <c r="E125" s="201">
        <f t="shared" si="44"/>
        <v>3</v>
      </c>
      <c r="F125" s="201">
        <f t="shared" si="44"/>
        <v>3</v>
      </c>
      <c r="G125" s="20" t="s">
        <v>50</v>
      </c>
      <c r="H125" s="28"/>
      <c r="I125" s="100"/>
      <c r="J125" s="203"/>
    </row>
    <row r="126" spans="1:12" hidden="1">
      <c r="A126" s="183"/>
      <c r="B126" s="1" t="s">
        <v>74</v>
      </c>
      <c r="C126" s="201">
        <f>+$C$77</f>
        <v>53.192699999999974</v>
      </c>
      <c r="D126" s="201">
        <f t="shared" ref="D126:F127" si="46">+$C$77</f>
        <v>53.192699999999974</v>
      </c>
      <c r="E126" s="201">
        <f t="shared" si="46"/>
        <v>53.192699999999974</v>
      </c>
      <c r="F126" s="201">
        <f t="shared" si="46"/>
        <v>53.192699999999974</v>
      </c>
      <c r="G126" s="25" t="s">
        <v>41</v>
      </c>
      <c r="H126" s="28"/>
      <c r="I126" s="100"/>
      <c r="J126" s="203"/>
    </row>
    <row r="127" spans="1:12" hidden="1">
      <c r="A127" s="183"/>
      <c r="B127" s="1" t="s">
        <v>75</v>
      </c>
      <c r="C127" s="201">
        <f t="shared" ref="C127" si="47">+$C$77</f>
        <v>53.192699999999974</v>
      </c>
      <c r="D127" s="201">
        <f t="shared" si="46"/>
        <v>53.192699999999974</v>
      </c>
      <c r="E127" s="201">
        <f t="shared" si="46"/>
        <v>53.192699999999974</v>
      </c>
      <c r="F127" s="201">
        <f t="shared" si="46"/>
        <v>53.192699999999974</v>
      </c>
      <c r="G127" s="25" t="s">
        <v>41</v>
      </c>
      <c r="H127" s="28"/>
      <c r="I127" s="100"/>
      <c r="J127" s="203"/>
    </row>
    <row r="128" spans="1:12" hidden="1">
      <c r="A128" s="183"/>
      <c r="B128" s="1" t="s">
        <v>76</v>
      </c>
      <c r="C128" s="201">
        <f>+($G$22)*(C$43+C$38)+ IF(   $H$22&gt;0, $H$22,0   )*C$42/2</f>
        <v>200</v>
      </c>
      <c r="D128" s="201">
        <f>+($G$22)*(D$43+D$38)+ IF(   $H$22&gt;0, $H$22,0   )*D$42/2</f>
        <v>200</v>
      </c>
      <c r="E128" s="201">
        <f>+($G$22)*(E$43+E$38)+ IF(   $H$22&gt;0, $H$22,0   )*E$42/2</f>
        <v>200</v>
      </c>
      <c r="F128" s="201">
        <f>+($G$22)*(F$43+F$38)+ IF(   $H$22&gt;0, $H$22,0   )*F$42/2</f>
        <v>200</v>
      </c>
      <c r="G128" s="25" t="s">
        <v>77</v>
      </c>
      <c r="H128" s="28"/>
      <c r="I128" s="100"/>
      <c r="J128" s="203"/>
    </row>
    <row r="129" spans="1:12" hidden="1">
      <c r="A129" s="183"/>
      <c r="B129" s="1" t="s">
        <v>78</v>
      </c>
      <c r="C129" s="201">
        <f>+($F$22)*(C$43+C$38)+ IF(   $H$22&gt;0, $H$22,0   )*C$42/2</f>
        <v>100</v>
      </c>
      <c r="D129" s="201">
        <f>+($F$22)*(D$43+D$38)+ IF(   $H$22&gt;0, $H$22,0   )*D$42/2</f>
        <v>100</v>
      </c>
      <c r="E129" s="201">
        <f>+($F$22)*(E$43+E$38)+ IF(   $H$22&gt;0, $H$22,0   )*E$42/2</f>
        <v>100</v>
      </c>
      <c r="F129" s="201">
        <f>+($F$22)*(F$43+F$38)+ IF(   $H$22&gt;0, $H$22,0   )*F$42/2</f>
        <v>100</v>
      </c>
      <c r="G129" s="25" t="s">
        <v>77</v>
      </c>
      <c r="H129" s="28"/>
      <c r="I129" s="100"/>
      <c r="J129" s="203"/>
    </row>
    <row r="130" spans="1:12" hidden="1">
      <c r="A130" s="183"/>
      <c r="B130" s="1" t="s">
        <v>79</v>
      </c>
      <c r="C130" s="201">
        <f>+INDEX($C$79:$F$80,1,$H130)</f>
        <v>801.53401060785757</v>
      </c>
      <c r="D130" s="201">
        <f t="shared" ref="D130:F130" si="48">+INDEX($C$79:$F$80,1,$H130)</f>
        <v>801.53401060785757</v>
      </c>
      <c r="E130" s="201">
        <f t="shared" si="48"/>
        <v>801.53401060785757</v>
      </c>
      <c r="F130" s="201">
        <f t="shared" si="48"/>
        <v>801.53401060785757</v>
      </c>
      <c r="G130" s="25" t="s">
        <v>77</v>
      </c>
      <c r="H130" s="28">
        <v>2</v>
      </c>
      <c r="I130" s="100"/>
      <c r="J130" s="203"/>
    </row>
    <row r="131" spans="1:12" hidden="1">
      <c r="A131" s="183"/>
      <c r="B131" s="1" t="s">
        <v>80</v>
      </c>
      <c r="C131" s="201">
        <f>+C130</f>
        <v>801.53401060785757</v>
      </c>
      <c r="D131" s="201">
        <f t="shared" ref="D131" si="49">+D130</f>
        <v>801.53401060785757</v>
      </c>
      <c r="E131" s="201">
        <f t="shared" ref="E131" si="50">+E130</f>
        <v>801.53401060785757</v>
      </c>
      <c r="F131" s="201">
        <f t="shared" ref="F131" si="51">+F130</f>
        <v>801.53401060785757</v>
      </c>
      <c r="G131" s="25" t="s">
        <v>77</v>
      </c>
      <c r="H131" s="28">
        <v>2</v>
      </c>
      <c r="I131" s="100"/>
      <c r="J131" s="203"/>
    </row>
    <row r="132" spans="1:12" hidden="1">
      <c r="A132" s="183"/>
      <c r="B132" s="1" t="s">
        <v>95</v>
      </c>
      <c r="C132" s="201">
        <f>+C135*C134</f>
        <v>652.38541999999995</v>
      </c>
      <c r="D132" s="201">
        <f t="shared" ref="D132:F132" si="52">+D135*D134</f>
        <v>652.38541999999995</v>
      </c>
      <c r="E132" s="201">
        <f t="shared" si="52"/>
        <v>652.38541999999995</v>
      </c>
      <c r="F132" s="201">
        <f t="shared" si="52"/>
        <v>652.38541999999995</v>
      </c>
      <c r="G132" s="25" t="s">
        <v>77</v>
      </c>
      <c r="H132" s="28"/>
      <c r="I132" s="100"/>
      <c r="J132" s="203"/>
    </row>
    <row r="133" spans="1:12" hidden="1">
      <c r="A133" s="183"/>
      <c r="B133" s="1" t="s">
        <v>96</v>
      </c>
      <c r="C133" s="201">
        <f>+C136*C134</f>
        <v>552.38541999999995</v>
      </c>
      <c r="D133" s="201">
        <f t="shared" ref="D133:F133" si="53">+D136*D134</f>
        <v>552.38541999999995</v>
      </c>
      <c r="E133" s="201">
        <f t="shared" si="53"/>
        <v>552.38541999999995</v>
      </c>
      <c r="F133" s="201">
        <f t="shared" si="53"/>
        <v>552.38541999999995</v>
      </c>
      <c r="G133" s="25" t="s">
        <v>77</v>
      </c>
      <c r="H133" s="28"/>
      <c r="I133" s="100"/>
      <c r="J133" s="203"/>
    </row>
    <row r="134" spans="1:12" hidden="1">
      <c r="A134" s="183"/>
      <c r="B134" s="1" t="s">
        <v>82</v>
      </c>
      <c r="C134" s="202">
        <f>+C$56+C$57+  IF(   $H$23&gt;0, -$H$23+C$55, -$H$23   )</f>
        <v>40.957158839881345</v>
      </c>
      <c r="D134" s="202">
        <f t="shared" ref="D134:F134" si="54">+D$56+D$57+  IF(   $H$23&gt;0, -$H$23+D$55, -$H$23   )</f>
        <v>40.957158839881345</v>
      </c>
      <c r="E134" s="202">
        <f t="shared" si="54"/>
        <v>40.957158839881345</v>
      </c>
      <c r="F134" s="202">
        <f t="shared" si="54"/>
        <v>40.957158839881345</v>
      </c>
      <c r="G134" s="25" t="s">
        <v>41</v>
      </c>
      <c r="H134" s="28"/>
      <c r="I134" s="100"/>
      <c r="J134" s="203"/>
    </row>
    <row r="135" spans="1:12" hidden="1">
      <c r="A135" s="183"/>
      <c r="B135" s="1" t="s">
        <v>97</v>
      </c>
      <c r="C135" s="202">
        <f>+ABS(C$42/2-(C131-C129)/C134)</f>
        <v>15.928483285436066</v>
      </c>
      <c r="D135" s="202">
        <f t="shared" ref="D135:F135" si="55">+ABS(D$42/2-(D131-D129)/D134)</f>
        <v>15.928483285436066</v>
      </c>
      <c r="E135" s="202">
        <f t="shared" si="55"/>
        <v>15.928483285436066</v>
      </c>
      <c r="F135" s="202">
        <f t="shared" si="55"/>
        <v>15.928483285436066</v>
      </c>
      <c r="G135" s="26" t="s">
        <v>50</v>
      </c>
      <c r="H135" s="28"/>
      <c r="I135" s="100"/>
      <c r="J135" s="203"/>
    </row>
    <row r="136" spans="1:12" hidden="1">
      <c r="A136" s="183"/>
      <c r="B136" s="1" t="s">
        <v>98</v>
      </c>
      <c r="C136" s="202">
        <f>+ABS(C$42/2-(C130-C128)/C134)</f>
        <v>13.486907677349045</v>
      </c>
      <c r="D136" s="202">
        <f t="shared" ref="D136:F136" si="56">+ABS(D$42/2-(D130-D128)/D134)</f>
        <v>13.486907677349045</v>
      </c>
      <c r="E136" s="202">
        <f t="shared" si="56"/>
        <v>13.486907677349045</v>
      </c>
      <c r="F136" s="202">
        <f t="shared" si="56"/>
        <v>13.486907677349045</v>
      </c>
      <c r="G136" s="27" t="s">
        <v>50</v>
      </c>
      <c r="H136" s="28"/>
      <c r="I136" s="100"/>
      <c r="J136" s="203"/>
    </row>
    <row r="137" spans="1:12" hidden="1">
      <c r="A137" s="183"/>
      <c r="B137" s="1" t="s">
        <v>99</v>
      </c>
      <c r="C137" s="201">
        <f>+C$42/6</f>
        <v>0.39999999999999997</v>
      </c>
      <c r="D137" s="201">
        <f t="shared" ref="D137:F137" si="57">+D$42/6</f>
        <v>0.39999999999999997</v>
      </c>
      <c r="E137" s="201">
        <f t="shared" si="57"/>
        <v>0.39999999999999997</v>
      </c>
      <c r="F137" s="201">
        <f t="shared" si="57"/>
        <v>0.39999999999999997</v>
      </c>
      <c r="G137" s="20" t="s">
        <v>50</v>
      </c>
      <c r="H137" s="28"/>
      <c r="I137" s="100"/>
      <c r="J137" s="203"/>
    </row>
    <row r="138" spans="1:12" hidden="1">
      <c r="A138" s="183"/>
      <c r="B138" s="1" t="s">
        <v>100</v>
      </c>
      <c r="C138" s="196"/>
      <c r="D138" s="196"/>
      <c r="E138" s="196"/>
      <c r="F138" s="196"/>
      <c r="G138" s="197"/>
      <c r="H138" s="28"/>
      <c r="I138" s="100"/>
      <c r="J138" s="203"/>
    </row>
    <row r="139" spans="1:12" hidden="1">
      <c r="A139" s="183"/>
      <c r="B139" s="198" t="s">
        <v>101</v>
      </c>
      <c r="C139" s="17">
        <f>+(C134/C$42^2)*(1+6*C135/C$42+6*C136/C$42)</f>
        <v>530.01462827081286</v>
      </c>
      <c r="D139" s="17">
        <f t="shared" ref="D139:F139" si="58">+(D134/D$42^2)*(1+6*D135/D$42+6*D136/D$42)</f>
        <v>530.01462827081286</v>
      </c>
      <c r="E139" s="17">
        <f t="shared" si="58"/>
        <v>530.01462827081286</v>
      </c>
      <c r="F139" s="17">
        <f t="shared" si="58"/>
        <v>530.01462827081286</v>
      </c>
      <c r="G139" s="18" t="s">
        <v>13</v>
      </c>
      <c r="H139" s="28"/>
      <c r="I139" s="100"/>
      <c r="J139" s="203"/>
    </row>
    <row r="140" spans="1:12" hidden="1">
      <c r="A140" s="183"/>
      <c r="B140" s="199" t="s">
        <v>102</v>
      </c>
      <c r="C140" s="5">
        <f>+(C134/C$42^2)*(1+6*C135/C$42-6*C136/C$42)</f>
        <v>50.513395631923849</v>
      </c>
      <c r="D140" s="5">
        <f t="shared" ref="D140:F140" si="59">+(D134/D$42^2)*(1+6*D135/D$42-6*D136/D$42)</f>
        <v>50.513395631923849</v>
      </c>
      <c r="E140" s="5">
        <f t="shared" si="59"/>
        <v>50.513395631923849</v>
      </c>
      <c r="F140" s="5">
        <f t="shared" si="59"/>
        <v>50.513395631923849</v>
      </c>
      <c r="G140" s="18" t="s">
        <v>13</v>
      </c>
      <c r="H140" s="28"/>
      <c r="I140" s="100"/>
      <c r="J140" s="203"/>
    </row>
    <row r="141" spans="1:12" hidden="1">
      <c r="A141" s="183"/>
      <c r="B141" s="199" t="s">
        <v>103</v>
      </c>
      <c r="C141" s="5">
        <f>+(C134/C$42^2)*(1-6*C135/C$42+6*C136/C$42)</f>
        <v>-36.292159923631715</v>
      </c>
      <c r="D141" s="5">
        <f t="shared" ref="D141:F141" si="60">+(D134/D$42^2)*(1-6*D135/D$42+6*D136/D$42)</f>
        <v>-36.292159923631715</v>
      </c>
      <c r="E141" s="5">
        <f t="shared" si="60"/>
        <v>-36.292159923631715</v>
      </c>
      <c r="F141" s="5">
        <f t="shared" si="60"/>
        <v>-36.292159923631715</v>
      </c>
      <c r="G141" s="18" t="s">
        <v>13</v>
      </c>
      <c r="H141" s="28"/>
      <c r="I141" s="100"/>
      <c r="J141" s="203"/>
    </row>
    <row r="142" spans="1:12" hidden="1">
      <c r="A142" s="183"/>
      <c r="B142" s="198" t="s">
        <v>104</v>
      </c>
      <c r="C142" s="5">
        <f>+(C134/C$42^2)*(1-6*C135/C$42-6*C136/C$42)</f>
        <v>-515.79339256252069</v>
      </c>
      <c r="D142" s="5">
        <f t="shared" ref="D142:F142" si="61">+(D134/D$42^2)*(1-6*D135/D$42-6*D136/D$42)</f>
        <v>-515.79339256252069</v>
      </c>
      <c r="E142" s="5">
        <f t="shared" si="61"/>
        <v>-515.79339256252069</v>
      </c>
      <c r="F142" s="5">
        <f t="shared" si="61"/>
        <v>-515.79339256252069</v>
      </c>
      <c r="G142" s="18" t="s">
        <v>13</v>
      </c>
      <c r="H142" s="28"/>
      <c r="I142" s="100" t="s">
        <v>304</v>
      </c>
      <c r="J142" s="203">
        <f>+MAX(C139:F142)</f>
        <v>530.01462827081286</v>
      </c>
      <c r="K142" t="s">
        <v>308</v>
      </c>
      <c r="L142" s="4">
        <f>+C143</f>
        <v>100</v>
      </c>
    </row>
    <row r="143" spans="1:12" ht="15.75" hidden="1">
      <c r="A143" s="183"/>
      <c r="B143" s="176" t="s">
        <v>105</v>
      </c>
      <c r="C143" s="17">
        <f>+$C$6</f>
        <v>100</v>
      </c>
      <c r="D143" s="17">
        <f t="shared" ref="D143:F143" si="62">+$C$6</f>
        <v>100</v>
      </c>
      <c r="E143" s="17">
        <f t="shared" si="62"/>
        <v>100</v>
      </c>
      <c r="F143" s="17">
        <f t="shared" si="62"/>
        <v>100</v>
      </c>
      <c r="G143" s="18" t="s">
        <v>13</v>
      </c>
      <c r="H143" s="28"/>
      <c r="I143" s="100"/>
      <c r="J143" s="203"/>
    </row>
    <row r="144" spans="1:12" hidden="1">
      <c r="A144" s="183"/>
      <c r="B144" s="1" t="s">
        <v>71</v>
      </c>
      <c r="C144" s="175" t="str">
        <f>+IF(C139&lt;C143,"OK","NO CUMPLE")</f>
        <v>NO CUMPLE</v>
      </c>
      <c r="D144" s="175" t="str">
        <f t="shared" ref="D144:F144" si="63">+IF(D139&lt;D143,"OK","NO CUMPLE")</f>
        <v>NO CUMPLE</v>
      </c>
      <c r="E144" s="175" t="str">
        <f t="shared" si="63"/>
        <v>NO CUMPLE</v>
      </c>
      <c r="F144" s="175" t="str">
        <f t="shared" si="63"/>
        <v>NO CUMPLE</v>
      </c>
      <c r="H144" s="28"/>
      <c r="I144" s="100"/>
      <c r="J144" s="203"/>
    </row>
    <row r="145" spans="1:10" hidden="1">
      <c r="A145" s="183"/>
      <c r="B145" s="233" t="s">
        <v>92</v>
      </c>
      <c r="C145" s="232">
        <f>+$A$24</f>
        <v>3</v>
      </c>
      <c r="D145" s="232">
        <f>+$A$24</f>
        <v>3</v>
      </c>
      <c r="E145" s="232">
        <f>+$A$24</f>
        <v>3</v>
      </c>
      <c r="F145" s="232">
        <f>+$A$24</f>
        <v>3</v>
      </c>
      <c r="G145" s="192"/>
      <c r="H145" s="28"/>
      <c r="I145" s="100"/>
      <c r="J145" s="203"/>
    </row>
    <row r="146" spans="1:10" hidden="1">
      <c r="A146" s="183"/>
      <c r="B146" s="1" t="s">
        <v>93</v>
      </c>
      <c r="C146" s="356">
        <f>+$C$43</f>
        <v>3</v>
      </c>
      <c r="D146" s="201">
        <f t="shared" ref="D146:F147" si="64">+$C$43</f>
        <v>3</v>
      </c>
      <c r="E146" s="201">
        <f t="shared" si="64"/>
        <v>3</v>
      </c>
      <c r="F146" s="201">
        <f t="shared" si="64"/>
        <v>3</v>
      </c>
      <c r="G146" s="20" t="s">
        <v>50</v>
      </c>
      <c r="H146" s="28"/>
      <c r="I146" s="100"/>
      <c r="J146" s="203"/>
    </row>
    <row r="147" spans="1:10" hidden="1">
      <c r="A147" s="183"/>
      <c r="B147" s="1" t="s">
        <v>94</v>
      </c>
      <c r="C147" s="356">
        <f t="shared" ref="C147" si="65">+$C$43</f>
        <v>3</v>
      </c>
      <c r="D147" s="201">
        <f t="shared" si="64"/>
        <v>3</v>
      </c>
      <c r="E147" s="201">
        <f t="shared" si="64"/>
        <v>3</v>
      </c>
      <c r="F147" s="201">
        <f t="shared" si="64"/>
        <v>3</v>
      </c>
      <c r="G147" s="20" t="s">
        <v>50</v>
      </c>
      <c r="H147" s="28"/>
      <c r="I147" s="100"/>
      <c r="J147" s="203"/>
    </row>
    <row r="148" spans="1:10" hidden="1">
      <c r="A148" s="183"/>
      <c r="B148" s="1" t="s">
        <v>74</v>
      </c>
      <c r="C148" s="356">
        <f>+$C$77</f>
        <v>53.192699999999974</v>
      </c>
      <c r="D148" s="201">
        <f t="shared" ref="D148:F149" si="66">+$C$77</f>
        <v>53.192699999999974</v>
      </c>
      <c r="E148" s="201">
        <f t="shared" si="66"/>
        <v>53.192699999999974</v>
      </c>
      <c r="F148" s="201">
        <f t="shared" si="66"/>
        <v>53.192699999999974</v>
      </c>
      <c r="G148" s="25" t="s">
        <v>41</v>
      </c>
      <c r="H148" s="28"/>
      <c r="I148" s="100"/>
      <c r="J148" s="203"/>
    </row>
    <row r="149" spans="1:10" hidden="1">
      <c r="A149" s="183"/>
      <c r="B149" s="1" t="s">
        <v>75</v>
      </c>
      <c r="C149" s="356">
        <f t="shared" ref="C149" si="67">+$C$77</f>
        <v>53.192699999999974</v>
      </c>
      <c r="D149" s="201">
        <f t="shared" si="66"/>
        <v>53.192699999999974</v>
      </c>
      <c r="E149" s="201">
        <f t="shared" si="66"/>
        <v>53.192699999999974</v>
      </c>
      <c r="F149" s="201">
        <f t="shared" si="66"/>
        <v>53.192699999999974</v>
      </c>
      <c r="G149" s="25" t="s">
        <v>41</v>
      </c>
      <c r="H149" s="28"/>
      <c r="I149" s="100"/>
      <c r="J149" s="203"/>
    </row>
    <row r="150" spans="1:10" hidden="1">
      <c r="A150" s="183"/>
      <c r="B150" s="1" t="s">
        <v>76</v>
      </c>
      <c r="C150" s="201">
        <f>+($G$22)*(C$43+C$38)+ IF(   $H$22&gt;0, $H$22,0   )*C$42/2</f>
        <v>200</v>
      </c>
      <c r="D150" s="201">
        <f>+($G$22)*(D$43+D$38)+ IF(   $H$22&gt;0, $H$22,0   )*D$42/2</f>
        <v>200</v>
      </c>
      <c r="E150" s="201">
        <f>+($G$22)*(E$43+E$38)+ IF(   $H$22&gt;0, $H$22,0   )*E$42/2</f>
        <v>200</v>
      </c>
      <c r="F150" s="201">
        <f>+($G$22)*(F$43+F$38)+ IF(   $H$22&gt;0, $H$22,0   )*F$42/2</f>
        <v>200</v>
      </c>
      <c r="G150" s="25" t="s">
        <v>77</v>
      </c>
      <c r="H150" s="28"/>
      <c r="I150" s="100"/>
      <c r="J150" s="203"/>
    </row>
    <row r="151" spans="1:10" hidden="1">
      <c r="A151" s="183"/>
      <c r="B151" s="1" t="s">
        <v>78</v>
      </c>
      <c r="C151" s="201">
        <f>+($F$22)*(C$43+C$38)+ IF(   $H$22&gt;0, $H$22,0   )*C$42/2</f>
        <v>100</v>
      </c>
      <c r="D151" s="201">
        <f>+($F$22)*(D$43+D$38)+ IF(   $H$22&gt;0, $H$22,0   )*D$42/2</f>
        <v>100</v>
      </c>
      <c r="E151" s="201">
        <f>+($F$22)*(E$43+E$38)+ IF(   $H$22&gt;0, $H$22,0   )*E$42/2</f>
        <v>100</v>
      </c>
      <c r="F151" s="201">
        <f>+($F$22)*(F$43+F$38)+ IF(   $H$22&gt;0, $H$22,0   )*F$42/2</f>
        <v>100</v>
      </c>
      <c r="G151" s="25" t="s">
        <v>77</v>
      </c>
      <c r="H151" s="28"/>
      <c r="I151" s="100"/>
      <c r="J151" s="203"/>
    </row>
    <row r="152" spans="1:10" hidden="1">
      <c r="A152" s="183"/>
      <c r="B152" s="1" t="s">
        <v>79</v>
      </c>
      <c r="C152" s="201">
        <f>+INDEX($C$79:$F$80,1,$H152)</f>
        <v>403.15805999999998</v>
      </c>
      <c r="D152" s="201">
        <f t="shared" ref="D152:F152" si="68">+INDEX($C$79:$F$80,1,$H152)</f>
        <v>403.15805999999998</v>
      </c>
      <c r="E152" s="201">
        <f t="shared" si="68"/>
        <v>403.15805999999998</v>
      </c>
      <c r="F152" s="201">
        <f t="shared" si="68"/>
        <v>403.15805999999998</v>
      </c>
      <c r="G152" s="25" t="s">
        <v>77</v>
      </c>
      <c r="H152" s="28">
        <v>3</v>
      </c>
      <c r="I152" s="100"/>
      <c r="J152" s="203"/>
    </row>
    <row r="153" spans="1:10" hidden="1">
      <c r="A153" s="183"/>
      <c r="B153" s="1" t="s">
        <v>80</v>
      </c>
      <c r="C153" s="201">
        <f>+C152</f>
        <v>403.15805999999998</v>
      </c>
      <c r="D153" s="201">
        <f t="shared" ref="D153" si="69">+D152</f>
        <v>403.15805999999998</v>
      </c>
      <c r="E153" s="201">
        <f t="shared" ref="E153" si="70">+E152</f>
        <v>403.15805999999998</v>
      </c>
      <c r="F153" s="201">
        <f t="shared" ref="F153" si="71">+F152</f>
        <v>403.15805999999998</v>
      </c>
      <c r="G153" s="25" t="s">
        <v>77</v>
      </c>
      <c r="H153" s="28">
        <v>3</v>
      </c>
      <c r="I153" s="100"/>
      <c r="J153" s="203"/>
    </row>
    <row r="154" spans="1:10" hidden="1">
      <c r="A154" s="183"/>
      <c r="B154" s="1" t="s">
        <v>95</v>
      </c>
      <c r="C154" s="201">
        <f>+C157*C156</f>
        <v>67.614579999999975</v>
      </c>
      <c r="D154" s="201">
        <f t="shared" ref="D154:F154" si="72">+D157*D156</f>
        <v>67.614579999999975</v>
      </c>
      <c r="E154" s="201">
        <f t="shared" si="72"/>
        <v>67.614579999999975</v>
      </c>
      <c r="F154" s="201">
        <f t="shared" si="72"/>
        <v>67.614579999999975</v>
      </c>
      <c r="G154" s="25" t="s">
        <v>77</v>
      </c>
      <c r="H154" s="28"/>
      <c r="I154" s="100"/>
      <c r="J154" s="203"/>
    </row>
    <row r="155" spans="1:10" hidden="1">
      <c r="A155" s="183"/>
      <c r="B155" s="1" t="s">
        <v>96</v>
      </c>
      <c r="C155" s="201">
        <f>+C158*C156</f>
        <v>167.61457999999999</v>
      </c>
      <c r="D155" s="201">
        <f t="shared" ref="D155:F155" si="73">+D158*D156</f>
        <v>167.61457999999999</v>
      </c>
      <c r="E155" s="201">
        <f t="shared" si="73"/>
        <v>167.61457999999999</v>
      </c>
      <c r="F155" s="201">
        <f t="shared" si="73"/>
        <v>167.61457999999999</v>
      </c>
      <c r="G155" s="25" t="s">
        <v>77</v>
      </c>
      <c r="H155" s="28"/>
      <c r="I155" s="100"/>
      <c r="J155" s="203"/>
    </row>
    <row r="156" spans="1:10" hidden="1">
      <c r="A156" s="183"/>
      <c r="B156" s="1" t="s">
        <v>82</v>
      </c>
      <c r="C156" s="202">
        <f>+C$56+C$57+  IF(   $H$24&gt;0, -$H$24+C$55, -$H$24   )</f>
        <v>308.97719999999998</v>
      </c>
      <c r="D156" s="202">
        <f t="shared" ref="D156:F156" si="74">+D$56+D$57+  IF(   $H$24&gt;0, -$H$24+D$55, -$H$24   )</f>
        <v>308.97719999999998</v>
      </c>
      <c r="E156" s="202">
        <f t="shared" si="74"/>
        <v>308.97719999999998</v>
      </c>
      <c r="F156" s="202">
        <f t="shared" si="74"/>
        <v>308.97719999999998</v>
      </c>
      <c r="G156" s="25" t="s">
        <v>41</v>
      </c>
      <c r="H156" s="28"/>
      <c r="I156" s="100"/>
      <c r="J156" s="203"/>
    </row>
    <row r="157" spans="1:10" hidden="1">
      <c r="A157" s="183"/>
      <c r="B157" s="1" t="s">
        <v>97</v>
      </c>
      <c r="C157" s="202">
        <f>+ABS(C$42/2-(C153-C151)/C156)</f>
        <v>0.21883355794537585</v>
      </c>
      <c r="D157" s="202">
        <f t="shared" ref="D157:F157" si="75">+ABS(D$42/2-(D153-D151)/D156)</f>
        <v>0.21883355794537585</v>
      </c>
      <c r="E157" s="202">
        <f t="shared" si="75"/>
        <v>0.21883355794537585</v>
      </c>
      <c r="F157" s="202">
        <f t="shared" si="75"/>
        <v>0.21883355794537585</v>
      </c>
      <c r="G157" s="26" t="s">
        <v>50</v>
      </c>
      <c r="H157" s="28"/>
      <c r="I157" s="100"/>
      <c r="J157" s="203"/>
    </row>
    <row r="158" spans="1:10" hidden="1">
      <c r="A158" s="183"/>
      <c r="B158" s="1" t="s">
        <v>98</v>
      </c>
      <c r="C158" s="202">
        <f>+ABS(C$42/2-(C152-C150)/C156)</f>
        <v>0.54248203427307906</v>
      </c>
      <c r="D158" s="202">
        <f t="shared" ref="D158:F158" si="76">+ABS(D$42/2-(D152-D150)/D156)</f>
        <v>0.54248203427307906</v>
      </c>
      <c r="E158" s="202">
        <f t="shared" si="76"/>
        <v>0.54248203427307906</v>
      </c>
      <c r="F158" s="202">
        <f t="shared" si="76"/>
        <v>0.54248203427307906</v>
      </c>
      <c r="G158" s="27" t="s">
        <v>50</v>
      </c>
      <c r="H158" s="28"/>
      <c r="I158" s="100"/>
      <c r="J158" s="203"/>
    </row>
    <row r="159" spans="1:10" hidden="1">
      <c r="A159" s="183"/>
      <c r="B159" s="1" t="s">
        <v>99</v>
      </c>
      <c r="C159" s="201">
        <f>+C$42/6</f>
        <v>0.39999999999999997</v>
      </c>
      <c r="D159" s="201">
        <f t="shared" ref="D159:F159" si="77">+D$42/6</f>
        <v>0.39999999999999997</v>
      </c>
      <c r="E159" s="201">
        <f t="shared" si="77"/>
        <v>0.39999999999999997</v>
      </c>
      <c r="F159" s="201">
        <f t="shared" si="77"/>
        <v>0.39999999999999997</v>
      </c>
      <c r="G159" s="20" t="s">
        <v>50</v>
      </c>
      <c r="H159" s="28"/>
      <c r="I159" s="100"/>
      <c r="J159" s="203"/>
    </row>
    <row r="160" spans="1:10" hidden="1">
      <c r="A160" s="183"/>
      <c r="B160" s="1" t="s">
        <v>100</v>
      </c>
      <c r="C160" s="196"/>
      <c r="D160" s="196"/>
      <c r="E160" s="196"/>
      <c r="F160" s="196"/>
      <c r="G160" s="197"/>
      <c r="H160" s="28"/>
      <c r="I160" s="100"/>
      <c r="J160" s="203"/>
    </row>
    <row r="161" spans="1:14" hidden="1">
      <c r="A161" s="183"/>
      <c r="B161" s="198" t="s">
        <v>101</v>
      </c>
      <c r="C161" s="17">
        <f>+(C156/C$42^2)*(1+6*C157/C$42+6*C158/C$42)</f>
        <v>155.73786458333333</v>
      </c>
      <c r="D161" s="17">
        <f t="shared" ref="D161:F161" si="78">+(D156/D$42^2)*(1+6*D157/D$42+6*D158/D$42)</f>
        <v>155.73786458333333</v>
      </c>
      <c r="E161" s="17">
        <f t="shared" si="78"/>
        <v>155.73786458333333</v>
      </c>
      <c r="F161" s="17">
        <f t="shared" si="78"/>
        <v>155.73786458333333</v>
      </c>
      <c r="G161" s="18" t="s">
        <v>13</v>
      </c>
      <c r="H161" s="28"/>
      <c r="I161" s="100"/>
      <c r="J161" s="203"/>
    </row>
    <row r="162" spans="1:14" hidden="1">
      <c r="A162" s="183"/>
      <c r="B162" s="199" t="s">
        <v>102</v>
      </c>
      <c r="C162" s="5">
        <f>+(C156/C$42^2)*(1+6*C157/C$42-6*C158/C$42)</f>
        <v>10.239097222222206</v>
      </c>
      <c r="D162" s="5">
        <f t="shared" ref="D162:F162" si="79">+(D156/D$42^2)*(1+6*D157/D$42-6*D158/D$42)</f>
        <v>10.239097222222206</v>
      </c>
      <c r="E162" s="5">
        <f t="shared" si="79"/>
        <v>10.239097222222206</v>
      </c>
      <c r="F162" s="5">
        <f t="shared" si="79"/>
        <v>10.239097222222206</v>
      </c>
      <c r="G162" s="18" t="s">
        <v>13</v>
      </c>
      <c r="H162" s="28"/>
      <c r="I162" s="100"/>
      <c r="J162" s="203"/>
    </row>
    <row r="163" spans="1:14" hidden="1">
      <c r="A163" s="183"/>
      <c r="B163" s="199" t="s">
        <v>103</v>
      </c>
      <c r="C163" s="5">
        <f>+(C156/C$42^2)*(1-6*C157/C$42+6*C158/C$42)</f>
        <v>97.044652777777785</v>
      </c>
      <c r="D163" s="5">
        <f t="shared" ref="D163:F163" si="80">+(D156/D$42^2)*(1-6*D157/D$42+6*D158/D$42)</f>
        <v>97.044652777777785</v>
      </c>
      <c r="E163" s="5">
        <f t="shared" si="80"/>
        <v>97.044652777777785</v>
      </c>
      <c r="F163" s="5">
        <f t="shared" si="80"/>
        <v>97.044652777777785</v>
      </c>
      <c r="G163" s="18" t="s">
        <v>13</v>
      </c>
      <c r="H163" s="28"/>
      <c r="I163" s="100"/>
      <c r="J163" s="203"/>
    </row>
    <row r="164" spans="1:14" hidden="1">
      <c r="A164" s="183"/>
      <c r="B164" s="198" t="s">
        <v>104</v>
      </c>
      <c r="C164" s="5">
        <f>+(C156/C$42^2)*(1-6*C157/C$42-6*C158/C$42)</f>
        <v>-48.454114583333329</v>
      </c>
      <c r="D164" s="5">
        <f t="shared" ref="D164:F164" si="81">+(D156/D$42^2)*(1-6*D157/D$42-6*D158/D$42)</f>
        <v>-48.454114583333329</v>
      </c>
      <c r="E164" s="5">
        <f t="shared" si="81"/>
        <v>-48.454114583333329</v>
      </c>
      <c r="F164" s="5">
        <f t="shared" si="81"/>
        <v>-48.454114583333329</v>
      </c>
      <c r="G164" s="18" t="s">
        <v>13</v>
      </c>
      <c r="H164" s="28"/>
      <c r="I164" s="100" t="s">
        <v>304</v>
      </c>
      <c r="J164" s="203">
        <f>+MAX(C161:F164)</f>
        <v>155.73786458333333</v>
      </c>
      <c r="K164" t="s">
        <v>308</v>
      </c>
      <c r="L164" s="4">
        <f>+C165</f>
        <v>100</v>
      </c>
    </row>
    <row r="165" spans="1:14" ht="15.75" hidden="1">
      <c r="A165" s="183"/>
      <c r="B165" s="176" t="s">
        <v>105</v>
      </c>
      <c r="C165" s="17">
        <f>+$C$6</f>
        <v>100</v>
      </c>
      <c r="D165" s="17">
        <f t="shared" ref="D165:F165" si="82">+$C$6</f>
        <v>100</v>
      </c>
      <c r="E165" s="17">
        <f t="shared" si="82"/>
        <v>100</v>
      </c>
      <c r="F165" s="17">
        <f t="shared" si="82"/>
        <v>100</v>
      </c>
      <c r="G165" s="18" t="s">
        <v>13</v>
      </c>
      <c r="H165" s="28"/>
      <c r="I165" s="100"/>
      <c r="J165" s="203"/>
    </row>
    <row r="166" spans="1:14" hidden="1">
      <c r="A166" s="183"/>
      <c r="B166" s="1" t="s">
        <v>71</v>
      </c>
      <c r="C166" s="175" t="str">
        <f>+IF(C161&lt;C165,"OK","NO CUMPLE")</f>
        <v>NO CUMPLE</v>
      </c>
      <c r="D166" s="175" t="str">
        <f t="shared" ref="D166:F166" si="83">+IF(D161&lt;D165,"OK","NO CUMPLE")</f>
        <v>NO CUMPLE</v>
      </c>
      <c r="E166" s="175" t="str">
        <f t="shared" si="83"/>
        <v>NO CUMPLE</v>
      </c>
      <c r="F166" s="175" t="str">
        <f t="shared" si="83"/>
        <v>NO CUMPLE</v>
      </c>
      <c r="H166" s="28"/>
      <c r="I166" s="100"/>
      <c r="J166" s="203"/>
    </row>
    <row r="167" spans="1:14">
      <c r="A167" s="183"/>
      <c r="B167" s="362" t="s">
        <v>92</v>
      </c>
      <c r="C167" s="233">
        <v>1</v>
      </c>
      <c r="D167" s="233">
        <v>2</v>
      </c>
      <c r="E167" s="233">
        <v>3</v>
      </c>
      <c r="F167" s="233">
        <v>4</v>
      </c>
      <c r="G167" s="192"/>
      <c r="H167" s="28"/>
      <c r="I167" s="100"/>
      <c r="J167" s="203"/>
      <c r="N167" s="4">
        <v>1</v>
      </c>
    </row>
    <row r="168" spans="1:14">
      <c r="A168" s="183"/>
      <c r="B168" s="1" t="s">
        <v>93</v>
      </c>
      <c r="C168" s="356">
        <f>+$C$43</f>
        <v>3</v>
      </c>
      <c r="D168" s="201">
        <f t="shared" ref="D168:F169" si="84">+$C$43</f>
        <v>3</v>
      </c>
      <c r="E168" s="201">
        <f t="shared" si="84"/>
        <v>3</v>
      </c>
      <c r="F168" s="201">
        <f t="shared" si="84"/>
        <v>3</v>
      </c>
      <c r="G168" s="20" t="s">
        <v>50</v>
      </c>
      <c r="H168" s="28"/>
      <c r="I168" s="100"/>
      <c r="J168" s="203"/>
      <c r="N168" s="4">
        <v>1.3560378563788489</v>
      </c>
    </row>
    <row r="169" spans="1:14">
      <c r="A169" s="183"/>
      <c r="B169" s="1" t="s">
        <v>94</v>
      </c>
      <c r="C169" s="356">
        <f t="shared" ref="C169" si="85">+$C$43</f>
        <v>3</v>
      </c>
      <c r="D169" s="201">
        <f t="shared" si="84"/>
        <v>3</v>
      </c>
      <c r="E169" s="201">
        <f t="shared" si="84"/>
        <v>3</v>
      </c>
      <c r="F169" s="201">
        <f t="shared" si="84"/>
        <v>3</v>
      </c>
      <c r="G169" s="20" t="s">
        <v>50</v>
      </c>
      <c r="H169" s="28"/>
      <c r="I169" s="100"/>
      <c r="J169" s="203"/>
      <c r="N169" s="4">
        <v>0.83093030413797331</v>
      </c>
    </row>
    <row r="170" spans="1:14">
      <c r="A170" s="183"/>
      <c r="B170" s="1" t="s">
        <v>74</v>
      </c>
      <c r="C170" s="356">
        <f>+$C$77</f>
        <v>53.192699999999974</v>
      </c>
      <c r="D170" s="201">
        <f t="shared" ref="D170:F171" si="86">+$C$77</f>
        <v>53.192699999999974</v>
      </c>
      <c r="E170" s="201">
        <f t="shared" si="86"/>
        <v>53.192699999999974</v>
      </c>
      <c r="F170" s="201">
        <f t="shared" si="86"/>
        <v>53.192699999999974</v>
      </c>
      <c r="G170" s="25" t="s">
        <v>41</v>
      </c>
      <c r="H170" s="28"/>
      <c r="I170" s="100"/>
      <c r="J170" s="203"/>
      <c r="N170" s="4">
        <v>18.27</v>
      </c>
    </row>
    <row r="171" spans="1:14">
      <c r="A171" s="183"/>
      <c r="B171" s="1" t="s">
        <v>75</v>
      </c>
      <c r="C171" s="356">
        <f t="shared" ref="C171" si="87">+$C$77</f>
        <v>53.192699999999974</v>
      </c>
      <c r="D171" s="201">
        <f t="shared" si="86"/>
        <v>53.192699999999974</v>
      </c>
      <c r="E171" s="201">
        <f t="shared" si="86"/>
        <v>53.192699999999974</v>
      </c>
      <c r="F171" s="201">
        <f t="shared" si="86"/>
        <v>53.192699999999974</v>
      </c>
      <c r="G171" s="25" t="s">
        <v>41</v>
      </c>
      <c r="H171" s="28"/>
      <c r="I171" s="100"/>
      <c r="J171" s="203"/>
      <c r="N171" s="4">
        <v>6.8599999999999985</v>
      </c>
    </row>
    <row r="172" spans="1:14">
      <c r="A172" s="183"/>
      <c r="B172" s="1" t="s">
        <v>76</v>
      </c>
      <c r="C172" s="356">
        <f>+C68</f>
        <v>200</v>
      </c>
      <c r="D172" s="201">
        <f t="shared" ref="D172:F172" si="88">+D68</f>
        <v>800</v>
      </c>
      <c r="E172" s="201">
        <f t="shared" si="88"/>
        <v>160</v>
      </c>
      <c r="F172" s="201">
        <f t="shared" si="88"/>
        <v>460</v>
      </c>
      <c r="G172" s="25" t="s">
        <v>77</v>
      </c>
      <c r="H172" s="28"/>
      <c r="I172" s="100"/>
      <c r="J172" s="203"/>
      <c r="N172" s="4">
        <v>63.945</v>
      </c>
    </row>
    <row r="173" spans="1:14">
      <c r="A173" s="183"/>
      <c r="B173" s="1" t="s">
        <v>78</v>
      </c>
      <c r="C173" s="356">
        <f>+C69</f>
        <v>100</v>
      </c>
      <c r="D173" s="201">
        <f t="shared" ref="D173:F173" si="89">+D69</f>
        <v>840</v>
      </c>
      <c r="E173" s="201">
        <f t="shared" si="89"/>
        <v>240</v>
      </c>
      <c r="F173" s="201">
        <f t="shared" si="89"/>
        <v>260</v>
      </c>
      <c r="G173" s="25" t="s">
        <v>77</v>
      </c>
      <c r="H173" s="28"/>
      <c r="I173" s="100"/>
      <c r="J173" s="203"/>
      <c r="N173" s="4">
        <v>24.01</v>
      </c>
    </row>
    <row r="174" spans="1:14">
      <c r="A174" s="183"/>
      <c r="B174" s="1" t="s">
        <v>79</v>
      </c>
      <c r="C174" s="356">
        <f>+INDEX($C$79:$F$80,1,1)</f>
        <v>1279.15806</v>
      </c>
      <c r="D174" s="201">
        <f>+INDEX($C$79:$F$80,1,2)</f>
        <v>801.53401060785757</v>
      </c>
      <c r="E174" s="201">
        <f>+INDEX($C$79:$F$80,1,3)</f>
        <v>403.15805999999998</v>
      </c>
      <c r="F174" s="201">
        <f>+INDEX($C$79:$F$80,1,4)</f>
        <v>801.53401060785757</v>
      </c>
      <c r="G174" s="25" t="s">
        <v>77</v>
      </c>
      <c r="H174" s="28">
        <v>4</v>
      </c>
      <c r="I174" s="100"/>
      <c r="J174" s="203"/>
      <c r="N174" s="4">
        <v>263.66545890930564</v>
      </c>
    </row>
    <row r="175" spans="1:14">
      <c r="A175" s="183"/>
      <c r="B175" s="1" t="s">
        <v>80</v>
      </c>
      <c r="C175" s="356">
        <f>+C174</f>
        <v>1279.15806</v>
      </c>
      <c r="D175" s="201">
        <f t="shared" ref="D175" si="90">+D174</f>
        <v>801.53401060785757</v>
      </c>
      <c r="E175" s="201">
        <f t="shared" ref="E175" si="91">+E174</f>
        <v>403.15805999999998</v>
      </c>
      <c r="F175" s="201">
        <f t="shared" ref="F175" si="92">+F174</f>
        <v>801.53401060785757</v>
      </c>
      <c r="G175" s="25" t="s">
        <v>77</v>
      </c>
      <c r="H175" s="28">
        <v>4</v>
      </c>
      <c r="I175" s="100"/>
      <c r="J175" s="203"/>
      <c r="N175" s="4">
        <v>253.56187874240899</v>
      </c>
    </row>
    <row r="176" spans="1:14">
      <c r="A176" s="183"/>
      <c r="B176" s="1" t="s">
        <v>95</v>
      </c>
      <c r="C176" s="201">
        <f>+C179*C178</f>
        <v>67.614579999999989</v>
      </c>
      <c r="D176" s="201">
        <f t="shared" ref="D176:F176" si="93">+D179*D178</f>
        <v>87.614580000000046</v>
      </c>
      <c r="E176" s="201">
        <f t="shared" si="93"/>
        <v>207.61457999999999</v>
      </c>
      <c r="F176" s="201">
        <f t="shared" si="93"/>
        <v>47.614579999999989</v>
      </c>
      <c r="G176" s="25" t="s">
        <v>77</v>
      </c>
      <c r="H176" s="28"/>
      <c r="I176" s="100"/>
      <c r="J176" s="203"/>
      <c r="N176" s="4">
        <v>14.09012125759099</v>
      </c>
    </row>
    <row r="177" spans="1:14">
      <c r="A177" s="183"/>
      <c r="B177" s="1" t="s">
        <v>96</v>
      </c>
      <c r="C177" s="201">
        <f>+C180*C178</f>
        <v>167.61458000000002</v>
      </c>
      <c r="D177" s="201">
        <f t="shared" ref="D177:F177" si="94">+D180*D178</f>
        <v>47.614580000000046</v>
      </c>
      <c r="E177" s="201">
        <f t="shared" si="94"/>
        <v>127.61458</v>
      </c>
      <c r="F177" s="201">
        <f t="shared" si="94"/>
        <v>247.61458000000002</v>
      </c>
      <c r="G177" s="25" t="s">
        <v>77</v>
      </c>
      <c r="H177" s="28"/>
      <c r="I177" s="100"/>
      <c r="J177" s="203"/>
      <c r="N177" s="4">
        <v>43.921541090694348</v>
      </c>
    </row>
    <row r="178" spans="1:14">
      <c r="A178" s="183"/>
      <c r="B178" s="1" t="s">
        <v>82</v>
      </c>
      <c r="C178" s="356">
        <f>C72-MAX(0,$H$22)</f>
        <v>1038.9772</v>
      </c>
      <c r="D178" s="202">
        <f>D72-MAX(0,$H$23)</f>
        <v>40.957158839881345</v>
      </c>
      <c r="E178" s="202">
        <f>E72-MAX(0,$H$24)</f>
        <v>308.97719999999998</v>
      </c>
      <c r="F178" s="202">
        <f>F72-MAX(0,$H$25)</f>
        <v>490.95715883988134</v>
      </c>
      <c r="G178" s="25" t="s">
        <v>41</v>
      </c>
      <c r="H178" s="28"/>
      <c r="I178" s="100"/>
      <c r="J178" s="203"/>
      <c r="N178" s="4">
        <v>243.642</v>
      </c>
    </row>
    <row r="179" spans="1:14">
      <c r="A179" s="183"/>
      <c r="B179" s="1" t="s">
        <v>97</v>
      </c>
      <c r="C179" s="202">
        <f>+ABS(C$42/2-(C175-C173)/C178)</f>
        <v>6.5078020961383931E-2</v>
      </c>
      <c r="D179" s="202">
        <f>+ABS(D$42/2 - (D175-D173)/D178)</f>
        <v>2.1391762144078905</v>
      </c>
      <c r="E179" s="202">
        <f t="shared" ref="E179:F179" si="95">+ABS(E$42/2-(E175-E173)/E178)</f>
        <v>0.6719414248041603</v>
      </c>
      <c r="F179" s="202">
        <f t="shared" si="95"/>
        <v>9.6983166744145199E-2</v>
      </c>
      <c r="G179" s="26" t="s">
        <v>50</v>
      </c>
      <c r="H179" s="28"/>
      <c r="I179" s="100"/>
      <c r="J179" s="203"/>
      <c r="N179" s="4">
        <v>5.7831249364194148E-2</v>
      </c>
    </row>
    <row r="180" spans="1:14">
      <c r="A180" s="183"/>
      <c r="B180" s="1" t="s">
        <v>98</v>
      </c>
      <c r="C180" s="202">
        <f>+ABS(C$42/2-(C174-C172)/C178)</f>
        <v>0.16132652381592205</v>
      </c>
      <c r="D180" s="202">
        <f t="shared" ref="D180:F180" si="96">+ABS(D$42/2-(D174-D172)/D178)</f>
        <v>1.1625459711730821</v>
      </c>
      <c r="E180" s="202">
        <f t="shared" si="96"/>
        <v>0.41302264374199782</v>
      </c>
      <c r="F180" s="202">
        <f t="shared" si="96"/>
        <v>0.50435068629023894</v>
      </c>
      <c r="G180" s="27" t="s">
        <v>50</v>
      </c>
      <c r="H180" s="28"/>
      <c r="I180" s="100"/>
      <c r="J180" s="203"/>
      <c r="N180" s="4">
        <v>0.18027081164452086</v>
      </c>
    </row>
    <row r="181" spans="1:14">
      <c r="A181" s="183"/>
      <c r="B181" s="1" t="s">
        <v>99</v>
      </c>
      <c r="C181" s="201">
        <f>+C$42/6</f>
        <v>0.39999999999999997</v>
      </c>
      <c r="D181" s="201">
        <f t="shared" ref="D181:F181" si="97">+D$42/6</f>
        <v>0.39999999999999997</v>
      </c>
      <c r="E181" s="201">
        <f t="shared" si="97"/>
        <v>0.39999999999999997</v>
      </c>
      <c r="F181" s="201">
        <f t="shared" si="97"/>
        <v>0.39999999999999997</v>
      </c>
      <c r="G181" s="20" t="s">
        <v>50</v>
      </c>
      <c r="H181" s="28"/>
      <c r="I181" s="100"/>
      <c r="J181" s="203"/>
      <c r="N181" s="4">
        <v>0.33333333333333331</v>
      </c>
    </row>
    <row r="182" spans="1:14">
      <c r="A182" s="183"/>
      <c r="B182" s="1" t="s">
        <v>100</v>
      </c>
      <c r="C182" s="196"/>
      <c r="D182" s="196"/>
      <c r="E182" s="196"/>
      <c r="F182" s="196"/>
      <c r="H182" s="28"/>
      <c r="I182" s="100"/>
      <c r="J182" s="203"/>
      <c r="N182" s="4"/>
    </row>
    <row r="183" spans="1:14">
      <c r="A183" s="183"/>
      <c r="B183" s="198" t="s">
        <v>101</v>
      </c>
      <c r="C183" s="362">
        <f>+(C178/C$42^2)*(1+6*C179/C$42+6*C180/C$42)</f>
        <v>282.47397569444445</v>
      </c>
      <c r="D183" s="17">
        <f>+(D178/D$42^2)*(1+6*D179/D$42+6*D180/D$42)</f>
        <v>65.803829659701677</v>
      </c>
      <c r="E183" s="17">
        <f t="shared" ref="E183:F183" si="98">+(E178/E$42^2)*(1+6*E179/E$42+6*E180/E$42)</f>
        <v>199.14064236111113</v>
      </c>
      <c r="F183" s="17">
        <f t="shared" si="98"/>
        <v>213.37327410414608</v>
      </c>
      <c r="G183" s="18" t="s">
        <v>13</v>
      </c>
      <c r="H183" s="28"/>
      <c r="I183" s="100"/>
      <c r="J183" s="203"/>
      <c r="N183" s="4">
        <v>104.419246761214</v>
      </c>
    </row>
    <row r="184" spans="1:14">
      <c r="A184" s="183"/>
      <c r="B184" s="199" t="s">
        <v>102</v>
      </c>
      <c r="C184" s="356">
        <f>+(C178/C$42^2)*(1+6*C179/C$42-6*C180/C$42)</f>
        <v>136.97520833333331</v>
      </c>
      <c r="D184" s="5">
        <f t="shared" ref="D184:F184" si="99">+(D178/D$42^2)*(1+6*D179/D$42-6*D180/D$42)</f>
        <v>24.471728965257181</v>
      </c>
      <c r="E184" s="5">
        <f t="shared" si="99"/>
        <v>88.364097222222213</v>
      </c>
      <c r="F184" s="5">
        <f t="shared" si="99"/>
        <v>-1.5699377014094842</v>
      </c>
      <c r="G184" s="18" t="s">
        <v>13</v>
      </c>
      <c r="H184" s="28"/>
      <c r="I184" s="100"/>
      <c r="J184" s="203"/>
      <c r="N184" s="4">
        <v>38.536935125172477</v>
      </c>
    </row>
    <row r="185" spans="1:14">
      <c r="A185" s="183"/>
      <c r="B185" s="199" t="s">
        <v>103</v>
      </c>
      <c r="C185" s="356">
        <f>+(C178/C$42^2)*(1-6*C179/C$42+6*C180/C$42)</f>
        <v>223.78076388888891</v>
      </c>
      <c r="D185" s="5">
        <f t="shared" ref="D185:F185" si="100">+(D178/D$42^2)*(1-6*D179/D$42+6*D180/D$42)</f>
        <v>-10.250493256965049</v>
      </c>
      <c r="E185" s="5">
        <f t="shared" si="100"/>
        <v>18.919652777777781</v>
      </c>
      <c r="F185" s="5">
        <f t="shared" si="100"/>
        <v>172.04117340970166</v>
      </c>
      <c r="G185" s="18" t="s">
        <v>13</v>
      </c>
      <c r="H185" s="28"/>
      <c r="I185" s="100"/>
      <c r="J185" s="203"/>
      <c r="N185" s="4">
        <v>83.284064874827521</v>
      </c>
    </row>
    <row r="186" spans="1:14">
      <c r="A186" s="183"/>
      <c r="B186" s="198" t="s">
        <v>104</v>
      </c>
      <c r="C186" s="356">
        <f>+(C178/C$42^2)*(1-6*C179/C$42-6*C180/C$42)</f>
        <v>78.281996527777778</v>
      </c>
      <c r="D186" s="5">
        <f t="shared" ref="D186:F186" si="101">+(D178/D$42^2)*(1-6*D179/D$42-6*D180/D$42)</f>
        <v>-51.582593951409535</v>
      </c>
      <c r="E186" s="5">
        <f t="shared" si="101"/>
        <v>-91.856892361111136</v>
      </c>
      <c r="F186" s="5">
        <f t="shared" si="101"/>
        <v>-42.902038395853936</v>
      </c>
      <c r="G186" s="18" t="s">
        <v>13</v>
      </c>
      <c r="H186" s="28"/>
      <c r="I186" s="100" t="s">
        <v>304</v>
      </c>
      <c r="J186" s="203">
        <f>+MAX(C183:F186)</f>
        <v>282.47397569444445</v>
      </c>
      <c r="K186" t="s">
        <v>308</v>
      </c>
      <c r="L186" s="4">
        <f>+C187</f>
        <v>100</v>
      </c>
      <c r="N186" s="4">
        <v>17.401753238785993</v>
      </c>
    </row>
    <row r="187" spans="1:14">
      <c r="A187" s="183"/>
      <c r="B187" s="362" t="s">
        <v>105</v>
      </c>
      <c r="C187" s="362">
        <f>+$C$6</f>
        <v>100</v>
      </c>
      <c r="D187" s="17">
        <f t="shared" ref="D187:F187" si="102">+$C$6</f>
        <v>100</v>
      </c>
      <c r="E187" s="17">
        <f t="shared" si="102"/>
        <v>100</v>
      </c>
      <c r="F187" s="17">
        <f t="shared" si="102"/>
        <v>100</v>
      </c>
      <c r="G187" s="18" t="s">
        <v>13</v>
      </c>
      <c r="H187" s="28"/>
      <c r="I187" s="100"/>
      <c r="J187" s="203"/>
      <c r="N187" s="4">
        <v>202</v>
      </c>
    </row>
    <row r="188" spans="1:14">
      <c r="A188" s="183"/>
      <c r="B188" s="1" t="s">
        <v>71</v>
      </c>
      <c r="C188" s="175" t="str">
        <f>+IF(C183&lt;C187,"OK","NO CUMPLE")</f>
        <v>NO CUMPLE</v>
      </c>
      <c r="D188" s="175" t="str">
        <f t="shared" ref="D188:F188" si="103">+IF(D183&lt;D187,"OK","NO CUMPLE")</f>
        <v>OK</v>
      </c>
      <c r="E188" s="175" t="str">
        <f t="shared" si="103"/>
        <v>NO CUMPLE</v>
      </c>
      <c r="F188" s="175" t="str">
        <f t="shared" si="103"/>
        <v>NO CUMPLE</v>
      </c>
      <c r="H188" s="28"/>
      <c r="I188" s="100"/>
      <c r="J188" s="203"/>
      <c r="N188" s="4" t="s">
        <v>330</v>
      </c>
    </row>
    <row r="189" spans="1:14">
      <c r="A189" s="252"/>
      <c r="H189" s="28"/>
      <c r="I189" s="100"/>
      <c r="J189" s="203"/>
      <c r="N189" s="4"/>
    </row>
    <row r="190" spans="1:14">
      <c r="A190" s="252"/>
      <c r="H190" s="28"/>
      <c r="I190" s="100"/>
      <c r="J190" s="203"/>
      <c r="N190" s="4"/>
    </row>
    <row r="191" spans="1:14">
      <c r="A191" s="252"/>
      <c r="H191" s="28"/>
      <c r="I191" s="100"/>
      <c r="J191" s="203"/>
      <c r="N191" s="4"/>
    </row>
    <row r="192" spans="1:14" ht="15.75" thickBot="1">
      <c r="A192" s="252"/>
      <c r="H192" s="28"/>
      <c r="I192" s="100"/>
      <c r="J192" s="203"/>
      <c r="K192" s="4"/>
      <c r="L192" s="4"/>
    </row>
    <row r="193" spans="1:12" ht="15.75" thickBot="1">
      <c r="A193" s="200">
        <v>5</v>
      </c>
      <c r="B193" s="200" t="s">
        <v>106</v>
      </c>
      <c r="C193" s="270"/>
      <c r="D193" s="270"/>
      <c r="E193" s="270"/>
      <c r="F193" s="270"/>
      <c r="G193" s="270"/>
      <c r="H193" s="234"/>
      <c r="I193" s="100" t="s">
        <v>331</v>
      </c>
      <c r="J193" s="203">
        <f>+MAX(J120,J142,J164,J186)</f>
        <v>530.01462827081286</v>
      </c>
      <c r="K193" s="4"/>
      <c r="L193" s="4"/>
    </row>
    <row r="194" spans="1:12">
      <c r="A194" s="252"/>
      <c r="B194" s="233" t="s">
        <v>92</v>
      </c>
      <c r="C194" s="233">
        <v>1</v>
      </c>
      <c r="D194" s="233">
        <v>1</v>
      </c>
      <c r="E194" s="233">
        <v>1</v>
      </c>
      <c r="F194" s="233">
        <v>1</v>
      </c>
      <c r="H194" s="28"/>
      <c r="I194" s="100" t="s">
        <v>332</v>
      </c>
      <c r="J194" s="235">
        <f>IF(J120=J193,1,
    IF(J142=J193, 2,
       IF(J164=J193,3,
           4)))</f>
        <v>2</v>
      </c>
      <c r="K194" s="4"/>
      <c r="L194" s="4"/>
    </row>
    <row r="195" spans="1:12">
      <c r="A195" s="183"/>
      <c r="B195" s="1" t="s">
        <v>93</v>
      </c>
      <c r="C195" s="356">
        <f>+$C$43</f>
        <v>3</v>
      </c>
      <c r="D195" s="201">
        <f t="shared" ref="D195:F196" si="104">+$C$43</f>
        <v>3</v>
      </c>
      <c r="E195" s="201">
        <f t="shared" si="104"/>
        <v>3</v>
      </c>
      <c r="F195" s="201">
        <f t="shared" si="104"/>
        <v>3</v>
      </c>
      <c r="G195" s="20" t="s">
        <v>50</v>
      </c>
      <c r="H195" s="28"/>
      <c r="I195" s="100"/>
      <c r="J195" s="203"/>
      <c r="K195" s="4"/>
      <c r="L195" s="4"/>
    </row>
    <row r="196" spans="1:12">
      <c r="A196" s="183"/>
      <c r="B196" s="1" t="s">
        <v>94</v>
      </c>
      <c r="C196" s="356">
        <f t="shared" ref="C196" si="105">+$C$43</f>
        <v>3</v>
      </c>
      <c r="D196" s="201">
        <f t="shared" si="104"/>
        <v>3</v>
      </c>
      <c r="E196" s="201">
        <f t="shared" si="104"/>
        <v>3</v>
      </c>
      <c r="F196" s="201">
        <f t="shared" si="104"/>
        <v>3</v>
      </c>
      <c r="G196" s="20" t="s">
        <v>50</v>
      </c>
      <c r="H196" s="28"/>
      <c r="I196" s="100"/>
      <c r="J196" s="203"/>
      <c r="K196" s="4"/>
      <c r="L196" s="4"/>
    </row>
    <row r="197" spans="1:12">
      <c r="A197" s="183"/>
      <c r="B197" s="1" t="s">
        <v>74</v>
      </c>
      <c r="C197" s="356">
        <f>+C170</f>
        <v>53.192699999999974</v>
      </c>
      <c r="D197" s="201">
        <f t="shared" ref="D197:F198" si="106">+D195^2*$C$10*D$39*$C$14/2</f>
        <v>109.34999999999994</v>
      </c>
      <c r="E197" s="201">
        <f t="shared" si="106"/>
        <v>109.34999999999994</v>
      </c>
      <c r="F197" s="201">
        <f t="shared" si="106"/>
        <v>109.34999999999994</v>
      </c>
      <c r="G197" s="25" t="s">
        <v>41</v>
      </c>
      <c r="H197" s="28"/>
      <c r="I197" s="100"/>
      <c r="J197" s="203"/>
      <c r="K197" s="4"/>
      <c r="L197" s="4"/>
    </row>
    <row r="198" spans="1:12">
      <c r="A198" s="183"/>
      <c r="B198" s="1" t="s">
        <v>75</v>
      </c>
      <c r="C198" s="356">
        <f>+C171</f>
        <v>53.192699999999974</v>
      </c>
      <c r="D198" s="201">
        <f t="shared" si="106"/>
        <v>109.34999999999994</v>
      </c>
      <c r="E198" s="201">
        <f t="shared" si="106"/>
        <v>109.34999999999994</v>
      </c>
      <c r="F198" s="201">
        <f t="shared" si="106"/>
        <v>109.34999999999994</v>
      </c>
      <c r="G198" s="25" t="s">
        <v>41</v>
      </c>
      <c r="H198" s="28"/>
      <c r="I198" s="100"/>
      <c r="J198" s="203"/>
      <c r="K198" s="4"/>
      <c r="L198" s="4"/>
    </row>
    <row r="199" spans="1:12">
      <c r="A199" s="183"/>
      <c r="B199" s="1" t="s">
        <v>76</v>
      </c>
      <c r="C199" s="356">
        <f>+(INDEX($F$30:$H$33,C$194,       2))*(C$43+C$38)+ IF(   INDEX($F$30:$H$33,C$194,       3)&gt;0, INDEX($F$30:$H$33,C$194,       3),0   )*C$42/2</f>
        <v>300</v>
      </c>
      <c r="D199" s="201">
        <f>+(INDEX($F$30:$H$33,D$194,       2))*(D$43+D$38)+ IF(   INDEX($F$30:$H$33,D$194,       3)&gt;0, INDEX($F$30:$H$33,D$194,       3),0   )*D$42/2</f>
        <v>300</v>
      </c>
      <c r="E199" s="201">
        <f>+(INDEX($F$30:$H$33,E$194,       2))*(E$43+E$38)+ IF(   INDEX($F$30:$H$33,E$194,       3)&gt;0, INDEX($F$30:$H$33,E$194,       3),0   )*E$42/2</f>
        <v>300</v>
      </c>
      <c r="F199" s="201">
        <f>+(INDEX($F$30:$H$33,F$194,       2))*(F$43+F$38)+ IF(   INDEX($F$30:$H$33,F$194,       3)&gt;0, INDEX($F$30:$H$33,F$194,       3),0   )*F$42/2</f>
        <v>300</v>
      </c>
      <c r="G199" s="25" t="s">
        <v>77</v>
      </c>
      <c r="H199" s="28"/>
      <c r="I199" s="100"/>
      <c r="J199" s="203"/>
      <c r="K199" s="4"/>
      <c r="L199" s="4"/>
    </row>
    <row r="200" spans="1:12">
      <c r="A200" s="183"/>
      <c r="B200" s="1" t="s">
        <v>78</v>
      </c>
      <c r="C200" s="356">
        <f>+(INDEX($F$30:$H$33,C$194,       1))*(C$43+C$38)+ IF(   INDEX($F$30:$H$33,C$194,       3)&gt;0, INDEX($F$30:$H$33,C$194,       3),0   )*C$42/2</f>
        <v>150</v>
      </c>
      <c r="D200" s="201">
        <f>+(INDEX($F$30:$H$33,D$194,       1))*(D$43+D$38)+ IF(   INDEX($F$30:$H$33,D$194,       3)&gt;0, INDEX($F$30:$H$33,D$194,       3),0   )*D$42/2</f>
        <v>150</v>
      </c>
      <c r="E200" s="201">
        <f>+(INDEX($F$30:$H$33,E$194,       1))*(E$43+E$38)+ IF(   INDEX($F$30:$H$33,E$194,       3)&gt;0, INDEX($F$30:$H$33,E$194,       3),0   )*E$42/2</f>
        <v>150</v>
      </c>
      <c r="F200" s="201">
        <f>+(INDEX($F$30:$H$33,F$194,       1))*(F$43+F$38)+ IF(   INDEX($F$30:$H$33,F$194,       3)&gt;0, INDEX($F$30:$H$33,F$194,       3),0   )*F$42/2</f>
        <v>150</v>
      </c>
      <c r="G200" s="25" t="s">
        <v>77</v>
      </c>
      <c r="H200" s="28"/>
      <c r="I200" s="100"/>
      <c r="J200" s="203"/>
      <c r="K200" s="4"/>
      <c r="L200" s="4"/>
    </row>
    <row r="201" spans="1:12">
      <c r="A201" s="183"/>
      <c r="B201" s="1" t="s">
        <v>79</v>
      </c>
      <c r="C201" s="356">
        <f>+(C$56+C$57+  IF(_xlfn.SINGLE(   INDEX($F$30:$H$33,C$194,       3))&gt;0,+C$55, -_xlfn.SINGLE(INDEX($F$30:$H$33,C$194,       3)   ))  )*C$42/2 + C197*(C78)</f>
        <v>1717.15806</v>
      </c>
      <c r="D201" s="201">
        <f>+(D$56+D$57+  IF(   INDEX($F$30:$H$33,D$194,       3)&gt;0,+D$55, -INDEX($F$30:$H$33,D$194,       3)   )  )*D$42/2 + D197*(D$43-2/3*D195)</f>
        <v>1794.1226399999998</v>
      </c>
      <c r="E201" s="201">
        <f>+(E$56+E$57+  IF(   INDEX($F$30:$H$33,E$194,       3)&gt;0,+E$55, -INDEX($F$30:$H$33,E$194,       3)   )  )*E$42/2 + E197*(E$43-2/3*E195)</f>
        <v>1794.1226399999998</v>
      </c>
      <c r="F201" s="201">
        <f>+(F$56+F$57+  IF(   INDEX($F$30:$H$33,F$194,       3)&gt;0,+F$55, -INDEX($F$30:$H$33,F$194,       3)   )  )*F$42/2 + F197*(F$43-2/3*F195)</f>
        <v>1794.1226399999998</v>
      </c>
      <c r="G201" s="25" t="s">
        <v>77</v>
      </c>
      <c r="H201" s="28"/>
      <c r="I201" s="100"/>
      <c r="J201" s="203"/>
      <c r="K201" s="4"/>
      <c r="L201" s="4"/>
    </row>
    <row r="202" spans="1:12">
      <c r="A202" s="183"/>
      <c r="B202" s="1" t="s">
        <v>80</v>
      </c>
      <c r="C202" s="356">
        <f>+(C$56+C$57+   IF(_xlfn.SINGLE(   INDEX($F$30:$H$33,C$194,       3))&gt;0, +C$55, -_xlfn.SINGLE(INDEX($F$30:$H$33,C$194,       3)   ))    )*C$42/2+C198*(C78)</f>
        <v>1717.15806</v>
      </c>
      <c r="D202" s="201">
        <f>+(D$56+D$57+   IF(   INDEX($F$30:$H$33,D$194,       3)&gt;0, +D$55, -INDEX($F$30:$H$33,D$194,       3)   )    )*D$42/2+D198*(D$43-2/3*D196)</f>
        <v>1794.1226399999998</v>
      </c>
      <c r="E202" s="201">
        <f>+(E$56+E$57+   IF(   INDEX($F$30:$H$33,E$194,       3)&gt;0, +E$55, -INDEX($F$30:$H$33,E$194,       3)   )    )*E$42/2+E198*(E$43-2/3*E196)</f>
        <v>1794.1226399999998</v>
      </c>
      <c r="F202" s="201">
        <f>+(F$56+F$57+   IF(   INDEX($F$30:$H$33,F$194,       3)&gt;0, +F$55, -INDEX($F$30:$H$33,F$194,       3)   )    )*F$42/2+F198*(F$43-2/3*F196)</f>
        <v>1794.1226399999998</v>
      </c>
      <c r="G202" s="25" t="s">
        <v>77</v>
      </c>
      <c r="H202" s="28"/>
      <c r="I202" s="100"/>
      <c r="J202" s="203"/>
      <c r="K202" s="4"/>
      <c r="L202" s="4"/>
    </row>
    <row r="203" spans="1:12">
      <c r="A203" s="183"/>
      <c r="B203" s="1" t="s">
        <v>95</v>
      </c>
      <c r="C203" s="201">
        <f>+C206*C205</f>
        <v>117.61457999999995</v>
      </c>
      <c r="D203" s="201">
        <f t="shared" ref="D203:F203" si="107">+D206*D205</f>
        <v>40.650000000000297</v>
      </c>
      <c r="E203" s="201">
        <f t="shared" si="107"/>
        <v>40.650000000000297</v>
      </c>
      <c r="F203" s="201">
        <f t="shared" si="107"/>
        <v>40.650000000000297</v>
      </c>
      <c r="G203" s="25" t="s">
        <v>77</v>
      </c>
      <c r="H203" s="28"/>
      <c r="I203" s="100"/>
      <c r="J203" s="203"/>
      <c r="K203" s="4"/>
      <c r="L203" s="4"/>
    </row>
    <row r="204" spans="1:12">
      <c r="A204" s="183"/>
      <c r="B204" s="1" t="s">
        <v>96</v>
      </c>
      <c r="C204" s="201">
        <f>+C207*C205</f>
        <v>267.61458000000016</v>
      </c>
      <c r="D204" s="201">
        <f t="shared" ref="D204:F204" si="108">+D207*D205</f>
        <v>190.65000000000018</v>
      </c>
      <c r="E204" s="201">
        <f t="shared" si="108"/>
        <v>190.65000000000018</v>
      </c>
      <c r="F204" s="201">
        <f t="shared" si="108"/>
        <v>190.65000000000018</v>
      </c>
      <c r="G204" s="25" t="s">
        <v>77</v>
      </c>
      <c r="H204" s="28"/>
      <c r="I204" s="100"/>
      <c r="J204" s="203"/>
      <c r="K204" s="4"/>
      <c r="L204" s="4"/>
    </row>
    <row r="205" spans="1:12">
      <c r="A205" s="183"/>
      <c r="B205" s="1" t="s">
        <v>82</v>
      </c>
      <c r="C205" s="356">
        <f>+C$56+C$57+  IF(_xlfn.SINGLE(   INDEX($F$30:$H$33,C$194,       3))&gt;0, -_xlfn.SINGLE(INDEX($F$30:$H$33,C$194,       3))+C$55, -_xlfn.SINGLE(INDEX($F$30:$H$33,C$194,       3)   ))</f>
        <v>1403.9772</v>
      </c>
      <c r="D205" s="202">
        <f>+D$56+D$57+  IF(   INDEX($F$30:$H$33,D$194,       3)&gt;0, -INDEX($F$30:$H$33,D$194,       3)+D$55, -INDEX($F$30:$H$33,D$194,       3)   )</f>
        <v>1403.9772</v>
      </c>
      <c r="E205" s="202">
        <f>+E$56+E$57+  IF(   INDEX($F$30:$H$33,E$194,       3)&gt;0, -INDEX($F$30:$H$33,E$194,       3)+E$55, -INDEX($F$30:$H$33,E$194,       3)   )</f>
        <v>1403.9772</v>
      </c>
      <c r="F205" s="202">
        <f>+F$56+F$57+  IF(   INDEX($F$30:$H$33,F$194,       3)&gt;0, -INDEX($F$30:$H$33,F$194,       3)+F$55, -INDEX($F$30:$H$33,F$194,       3)   )</f>
        <v>1403.9772</v>
      </c>
      <c r="G205" s="25" t="s">
        <v>41</v>
      </c>
      <c r="H205" s="28"/>
      <c r="I205" s="100"/>
      <c r="J205" s="203"/>
      <c r="K205" s="4"/>
      <c r="L205" s="4"/>
    </row>
    <row r="206" spans="1:12">
      <c r="A206" s="183"/>
      <c r="B206" s="1" t="s">
        <v>97</v>
      </c>
      <c r="C206" s="356">
        <f>+ABS(C$42/2-(C202-C200)/C205)</f>
        <v>8.3772428783031483E-2</v>
      </c>
      <c r="D206" s="202">
        <f t="shared" ref="D206:F206" si="109">+ABS(D$42/2-(D202-D200)/D205)</f>
        <v>2.8953461637411415E-2</v>
      </c>
      <c r="E206" s="202">
        <f t="shared" si="109"/>
        <v>2.8953461637411415E-2</v>
      </c>
      <c r="F206" s="202">
        <f t="shared" si="109"/>
        <v>2.8953461637411415E-2</v>
      </c>
      <c r="G206" s="271" t="s">
        <v>50</v>
      </c>
      <c r="H206" s="272"/>
      <c r="I206" s="100"/>
      <c r="J206" s="203"/>
    </row>
    <row r="207" spans="1:12">
      <c r="A207" s="183"/>
      <c r="B207" s="1" t="s">
        <v>98</v>
      </c>
      <c r="C207" s="356">
        <f>+ABS(C$42/2-(C201-C199)/C205)</f>
        <v>0.19061177061849732</v>
      </c>
      <c r="D207" s="202">
        <f t="shared" ref="D207:F207" si="110">+ABS(D$42/2-(D201-D199)/D205)</f>
        <v>0.13579280347287703</v>
      </c>
      <c r="E207" s="202">
        <f t="shared" si="110"/>
        <v>0.13579280347287703</v>
      </c>
      <c r="F207" s="202">
        <f t="shared" si="110"/>
        <v>0.13579280347287703</v>
      </c>
      <c r="G207" s="6" t="s">
        <v>50</v>
      </c>
      <c r="H207" s="28"/>
      <c r="I207" s="100"/>
      <c r="J207" s="203"/>
    </row>
    <row r="208" spans="1:12">
      <c r="A208" s="183"/>
      <c r="B208" s="1" t="s">
        <v>99</v>
      </c>
      <c r="C208" s="201">
        <f>+C$42/6</f>
        <v>0.39999999999999997</v>
      </c>
      <c r="D208" s="201">
        <f t="shared" ref="D208:F208" si="111">+D$42/6</f>
        <v>0.39999999999999997</v>
      </c>
      <c r="E208" s="201">
        <f t="shared" si="111"/>
        <v>0.39999999999999997</v>
      </c>
      <c r="F208" s="201">
        <f t="shared" si="111"/>
        <v>0.39999999999999997</v>
      </c>
      <c r="G208" s="20" t="s">
        <v>50</v>
      </c>
      <c r="H208" s="28"/>
      <c r="I208" s="100"/>
      <c r="J208" s="203"/>
    </row>
    <row r="209" spans="1:19">
      <c r="A209" s="183"/>
      <c r="B209" s="1" t="s">
        <v>100</v>
      </c>
      <c r="C209" s="196"/>
      <c r="D209" s="196"/>
      <c r="E209" s="196"/>
      <c r="F209" s="196"/>
      <c r="H209" s="28"/>
      <c r="I209" s="100"/>
      <c r="J209" s="203"/>
      <c r="K209" t="s">
        <v>107</v>
      </c>
      <c r="L209" t="s">
        <v>108</v>
      </c>
      <c r="M209" t="s">
        <v>109</v>
      </c>
      <c r="N209" t="s">
        <v>110</v>
      </c>
      <c r="O209" t="s">
        <v>111</v>
      </c>
      <c r="P209" t="s">
        <v>112</v>
      </c>
      <c r="Q209" t="s">
        <v>113</v>
      </c>
      <c r="R209" t="s">
        <v>114</v>
      </c>
      <c r="S209" t="s">
        <v>115</v>
      </c>
    </row>
    <row r="210" spans="1:19">
      <c r="A210" s="183"/>
      <c r="B210" s="198" t="s">
        <v>101</v>
      </c>
      <c r="C210" s="356">
        <f>+(C205/C$42^2)*(1+6*C206/C$42+6*C207/C$42)</f>
        <v>410.94619791666673</v>
      </c>
      <c r="D210" s="17">
        <f t="shared" ref="D210:F210" si="112">+(D205/D$42^2)*(1+6*D206/D$42+6*D207/D$42)</f>
        <v>344.13666666666688</v>
      </c>
      <c r="E210" s="17">
        <f t="shared" si="112"/>
        <v>344.13666666666688</v>
      </c>
      <c r="F210" s="17">
        <f t="shared" si="112"/>
        <v>344.13666666666688</v>
      </c>
      <c r="G210" s="18" t="s">
        <v>13</v>
      </c>
      <c r="H210" s="28"/>
      <c r="I210" s="100" t="s">
        <v>116</v>
      </c>
      <c r="J210" s="203">
        <v>1.1599999999999999</v>
      </c>
      <c r="K210" s="32">
        <f>+$R$210*(J210*(J212-J211)/(J210*(J212-J211)+J212*J211))</f>
        <v>56.010724619259996</v>
      </c>
      <c r="L210" s="32">
        <f>+$R$210*(J211*(J212-J210)/(J210*(J212-J211)+J212*J211))</f>
        <v>180.87193200265173</v>
      </c>
      <c r="M210" s="5">
        <f>+(J212*J210*J211*(J212-J211)+J212^2*J211^2)</f>
        <v>74.518329600000015</v>
      </c>
      <c r="N210" s="1">
        <f>+J210^2*(J212-J211)^2*(1/3+J211/(6*J212))</f>
        <v>1.1782616823703702</v>
      </c>
      <c r="O210" s="1">
        <f>+(J212*J211-J212*J210)*((J212*J211+J212*J210)/2-J210-J211)</f>
        <v>9.8115840000000016</v>
      </c>
      <c r="P210" s="1">
        <f>+J212*J210*(J211/2*(J212-J210)+J212*J210/6)</f>
        <v>14.012985600000004</v>
      </c>
      <c r="Q210" s="1">
        <f>+M210/(N210+O210+P210)</f>
        <v>2.9803956503335391</v>
      </c>
      <c r="R210" s="33">
        <f>+$Q$210*$F$205/J212^2</f>
        <v>322.87095216415594</v>
      </c>
      <c r="S210" s="14">
        <f>+(J212^2-0.5*J210*J211)/J212^2</f>
        <v>0.90243827160493828</v>
      </c>
    </row>
    <row r="211" spans="1:19">
      <c r="A211" s="183"/>
      <c r="B211" s="199" t="s">
        <v>102</v>
      </c>
      <c r="C211" s="5">
        <f>+(C205/C$42^2)*(1+6*C206/C$42-6*C207/C$42)</f>
        <v>178.64187499999994</v>
      </c>
      <c r="D211" s="5">
        <f t="shared" ref="D211:F211" si="113">+(D205/D$42^2)*(1+6*D206/D$42-6*D207/D$42)</f>
        <v>178.64187500000006</v>
      </c>
      <c r="E211" s="5">
        <f t="shared" si="113"/>
        <v>178.64187500000006</v>
      </c>
      <c r="F211" s="5">
        <f t="shared" si="113"/>
        <v>178.64187500000006</v>
      </c>
      <c r="G211" s="18" t="s">
        <v>13</v>
      </c>
      <c r="H211" s="28"/>
      <c r="I211" s="100" t="s">
        <v>117</v>
      </c>
      <c r="J211" s="203">
        <v>2.1800000000000002</v>
      </c>
      <c r="K211" s="5"/>
      <c r="L211" s="5"/>
      <c r="M211" s="5"/>
      <c r="N211" s="1"/>
      <c r="O211" s="1"/>
      <c r="P211" s="1"/>
      <c r="Q211" s="1"/>
    </row>
    <row r="212" spans="1:19">
      <c r="A212" s="238"/>
      <c r="B212" s="199" t="s">
        <v>103</v>
      </c>
      <c r="C212" s="5">
        <f>+(C205/C$42^2)*(1-6*C206/C$42+6*C207/C$42)</f>
        <v>308.8502083333334</v>
      </c>
      <c r="D212" s="5">
        <f t="shared" ref="D212:F212" si="114">+(D205/D$42^2)*(1-6*D206/D$42+6*D207/D$42)</f>
        <v>308.85020833333328</v>
      </c>
      <c r="E212" s="5">
        <f t="shared" si="114"/>
        <v>308.85020833333328</v>
      </c>
      <c r="F212" s="5">
        <f t="shared" si="114"/>
        <v>308.85020833333328</v>
      </c>
      <c r="G212" s="18" t="s">
        <v>13</v>
      </c>
      <c r="H212" s="28"/>
      <c r="I212" s="100" t="s">
        <v>118</v>
      </c>
      <c r="J212" s="203">
        <v>3.6</v>
      </c>
      <c r="K212" s="5"/>
      <c r="L212" s="5"/>
      <c r="M212" s="5"/>
      <c r="N212" s="1"/>
      <c r="O212" s="1"/>
      <c r="P212" s="1"/>
      <c r="Q212" s="1"/>
    </row>
    <row r="213" spans="1:19">
      <c r="A213" s="183"/>
      <c r="B213" s="198" t="s">
        <v>104</v>
      </c>
      <c r="C213" s="5">
        <f>+(C205/C$42^2)*(1-6*C206/C$42-6*C207/C$42)</f>
        <v>76.545885416666636</v>
      </c>
      <c r="D213" s="5">
        <f t="shared" ref="D213:F213" si="115">+(D205/D$42^2)*(1-6*D206/D$42-6*D207/D$42)</f>
        <v>143.35541666666649</v>
      </c>
      <c r="E213" s="5">
        <f t="shared" si="115"/>
        <v>143.35541666666649</v>
      </c>
      <c r="F213" s="5">
        <f t="shared" si="115"/>
        <v>143.35541666666649</v>
      </c>
      <c r="G213" s="19" t="s">
        <v>13</v>
      </c>
      <c r="H213" s="28"/>
      <c r="I213" s="100"/>
      <c r="J213" s="203"/>
      <c r="K213" s="5"/>
      <c r="L213" s="5"/>
      <c r="M213" s="5"/>
      <c r="N213" s="1"/>
      <c r="O213" s="1"/>
      <c r="P213" s="1"/>
      <c r="Q213" s="1"/>
    </row>
    <row r="214" spans="1:19">
      <c r="A214" s="183"/>
      <c r="B214" s="1" t="s">
        <v>119</v>
      </c>
      <c r="C214" s="356">
        <f>AVERAGE(C213,C210)-$C$14*C$43</f>
        <v>195.14604166666669</v>
      </c>
      <c r="D214" s="5">
        <f>AVERAGE(D213,D210)-$C$14*D$43</f>
        <v>195.14604166666669</v>
      </c>
      <c r="E214" s="5">
        <f t="shared" ref="E214:F214" si="116">AVERAGE(E213,E210)-$C$14*E$43</f>
        <v>195.14604166666669</v>
      </c>
      <c r="F214" s="5">
        <f t="shared" si="116"/>
        <v>195.14604166666669</v>
      </c>
      <c r="G214" s="18" t="s">
        <v>13</v>
      </c>
      <c r="H214" s="28"/>
      <c r="I214" s="206" t="s">
        <v>120</v>
      </c>
      <c r="J214" s="203"/>
    </row>
    <row r="215" spans="1:19">
      <c r="A215" s="183"/>
      <c r="B215" s="1" t="s">
        <v>121</v>
      </c>
      <c r="C215" s="356">
        <f>(C210+MAX(C211,C212))/2</f>
        <v>359.89820312500007</v>
      </c>
      <c r="D215" s="237">
        <f t="shared" ref="D215:F215" si="117">(D210+MAX(D211,D212))/2</f>
        <v>326.49343750000008</v>
      </c>
      <c r="E215" s="237">
        <f t="shared" si="117"/>
        <v>326.49343750000008</v>
      </c>
      <c r="F215" s="237">
        <f t="shared" si="117"/>
        <v>326.49343750000008</v>
      </c>
      <c r="G215" s="18" t="s">
        <v>13</v>
      </c>
      <c r="H215" s="28"/>
      <c r="I215" s="206" t="s">
        <v>122</v>
      </c>
      <c r="J215" s="203"/>
    </row>
    <row r="216" spans="1:19" ht="15.75" thickBot="1">
      <c r="A216" s="254"/>
      <c r="B216" s="208"/>
      <c r="C216" s="273"/>
      <c r="D216" s="273"/>
      <c r="E216" s="273"/>
      <c r="F216" s="273"/>
      <c r="G216" s="50"/>
      <c r="H216" s="127"/>
      <c r="I216" s="100"/>
      <c r="J216" s="203"/>
      <c r="M216" t="s">
        <v>333</v>
      </c>
    </row>
    <row r="217" spans="1:19" ht="15.75" thickBot="1">
      <c r="A217" s="200">
        <v>6</v>
      </c>
      <c r="B217" s="200" t="s">
        <v>123</v>
      </c>
      <c r="C217" s="129">
        <f>+(C$215*C$42-$C$12*C$40-$C$14*C$47)</f>
        <v>812.03568750000011</v>
      </c>
      <c r="D217" s="129"/>
      <c r="E217" s="129"/>
      <c r="F217" s="129"/>
      <c r="G217" s="129"/>
      <c r="H217" s="122"/>
      <c r="I217" s="100"/>
      <c r="J217" s="203"/>
    </row>
    <row r="218" spans="1:19" ht="15.75" thickBot="1">
      <c r="A218" s="274"/>
      <c r="B218" s="31"/>
      <c r="C218">
        <f>+(C$42/2-C$39/2-C$46)</f>
        <v>0.59999999999999987</v>
      </c>
      <c r="H218" s="28"/>
      <c r="I218" s="100"/>
      <c r="J218" s="203"/>
    </row>
    <row r="219" spans="1:19" ht="15.75" thickBot="1">
      <c r="A219" s="200">
        <v>6.1</v>
      </c>
      <c r="B219" s="200" t="s">
        <v>124</v>
      </c>
      <c r="H219" s="28"/>
      <c r="I219" s="100"/>
      <c r="J219" s="203"/>
    </row>
    <row r="220" spans="1:19">
      <c r="A220" s="252"/>
      <c r="B220" s="164" t="s">
        <v>125</v>
      </c>
      <c r="C220" s="16">
        <f>+(C$39+C$46)*4</f>
        <v>3.4000000000000004</v>
      </c>
      <c r="D220" s="16">
        <f>+(D$39+D$46)*4</f>
        <v>3.4000000000000004</v>
      </c>
      <c r="E220" s="16">
        <f t="shared" ref="E220:F220" si="118">+(E$39+E$46)*4</f>
        <v>3.4000000000000004</v>
      </c>
      <c r="F220" s="16">
        <f t="shared" si="118"/>
        <v>3.4000000000000004</v>
      </c>
      <c r="G220" s="20" t="s">
        <v>50</v>
      </c>
      <c r="H220" s="28"/>
      <c r="I220" s="100"/>
      <c r="J220" s="203"/>
    </row>
    <row r="221" spans="1:19">
      <c r="A221" s="183"/>
      <c r="B221" s="1" t="s">
        <v>126</v>
      </c>
      <c r="C221" s="16">
        <f>C214*(C$42^2-(C$39+C$46)^2)</f>
        <v>983.0481848958334</v>
      </c>
      <c r="D221" s="16">
        <f>D214*(D$42^2-(D$39+D$46)^2)</f>
        <v>983.0481848958334</v>
      </c>
      <c r="E221" s="16">
        <f>E214*(E$42^2-(E$39+E$46)^2)</f>
        <v>983.0481848958334</v>
      </c>
      <c r="F221" s="16">
        <f>F214*(F$42^2-(F$39+F$46)^2)</f>
        <v>983.0481848958334</v>
      </c>
      <c r="G221" s="23" t="s">
        <v>41</v>
      </c>
      <c r="H221" s="28"/>
      <c r="I221" s="100"/>
      <c r="J221" s="203"/>
    </row>
    <row r="222" spans="1:19">
      <c r="A222" s="183"/>
      <c r="B222" s="1" t="s">
        <v>127</v>
      </c>
      <c r="C222" s="16">
        <f>+C224*1000*C$220*C$46</f>
        <v>1363.3162692493627</v>
      </c>
      <c r="D222" s="16">
        <f>+D224*1000*D$220*D$46</f>
        <v>1363.3162692493627</v>
      </c>
      <c r="E222" s="16">
        <f>+E224*1000*E$220*E$46</f>
        <v>1363.3162692493627</v>
      </c>
      <c r="F222" s="16">
        <f>+F224*1000*F$220*F$46</f>
        <v>1363.3162692493627</v>
      </c>
      <c r="G222" s="23" t="s">
        <v>41</v>
      </c>
      <c r="H222" s="28"/>
      <c r="I222" s="100"/>
      <c r="J222" s="203"/>
    </row>
    <row r="223" spans="1:19">
      <c r="A223" s="183"/>
      <c r="B223" s="1" t="s">
        <v>128</v>
      </c>
      <c r="C223" s="16">
        <f>+(C221/  ( C220  ) /C46)/1000</f>
        <v>0.82609091167717064</v>
      </c>
      <c r="D223" s="16">
        <f>+(D214*(D42^2-(D$39+D$46)^2)/  ( D220  ) /D46)/1000</f>
        <v>0.82609091167717064</v>
      </c>
      <c r="E223" s="16">
        <f>+(E214*(E42^2-(E$39+E$46)^2)/  ( E220  ) /E46)/1000</f>
        <v>0.82609091167717064</v>
      </c>
      <c r="F223" s="16">
        <f>+(F214*(F42^2-(F$39+F$46)^2)/  ( F220  ) /F46)/1000</f>
        <v>0.82609091167717064</v>
      </c>
      <c r="G223" s="24" t="s">
        <v>32</v>
      </c>
      <c r="H223" s="28"/>
      <c r="I223" s="162" t="s">
        <v>324</v>
      </c>
      <c r="J223" s="203">
        <f>+MAX(C223:F223)</f>
        <v>0.82609091167717064</v>
      </c>
      <c r="K223" t="s">
        <v>308</v>
      </c>
      <c r="L223" s="203">
        <f>+MIN(C224:F224)</f>
        <v>1.14564392373896</v>
      </c>
    </row>
    <row r="224" spans="1:19">
      <c r="A224" s="183"/>
      <c r="B224" s="1" t="s">
        <v>129</v>
      </c>
      <c r="C224" s="356">
        <f>+MIN(C225:C227)</f>
        <v>1.14564392373896</v>
      </c>
      <c r="D224" s="16">
        <f>+MIN(D225:D227)</f>
        <v>1.14564392373896</v>
      </c>
      <c r="E224" s="16">
        <f t="shared" ref="E224:F224" si="119">+MIN(E225:E227)</f>
        <v>1.14564392373896</v>
      </c>
      <c r="F224" s="16">
        <f t="shared" si="119"/>
        <v>1.14564392373896</v>
      </c>
      <c r="G224" s="22" t="s">
        <v>32</v>
      </c>
      <c r="H224" s="28"/>
      <c r="I224" s="100"/>
      <c r="J224" s="203"/>
    </row>
    <row r="225" spans="1:13">
      <c r="A225" s="183"/>
      <c r="B225" s="167" t="s">
        <v>130</v>
      </c>
      <c r="C225" s="356">
        <f>0.75*SQRT($C$16)/3</f>
        <v>1.14564392373896</v>
      </c>
      <c r="D225" s="16">
        <f>0.75*SQRT($C$16)/3</f>
        <v>1.14564392373896</v>
      </c>
      <c r="E225" s="16">
        <f t="shared" ref="E225:F225" si="120">0.75*SQRT($C$16)/3</f>
        <v>1.14564392373896</v>
      </c>
      <c r="F225" s="16">
        <f t="shared" si="120"/>
        <v>1.14564392373896</v>
      </c>
      <c r="G225" s="22" t="s">
        <v>32</v>
      </c>
      <c r="H225" s="28"/>
      <c r="I225" s="100"/>
      <c r="J225" s="203"/>
    </row>
    <row r="226" spans="1:13">
      <c r="A226" s="183"/>
      <c r="B226" s="167" t="s">
        <v>131</v>
      </c>
      <c r="C226" s="356">
        <f>0.75*0.17*(1+2/1)*SQRT($C$16)</f>
        <v>1.7528352033206087</v>
      </c>
      <c r="D226" s="16">
        <f>0.75*0.17*(1+2/1)*SQRT($C$16)</f>
        <v>1.7528352033206087</v>
      </c>
      <c r="E226" s="16">
        <f t="shared" ref="E226:F226" si="121">0.75*0.17*(1+2/1)*SQRT($C$16)</f>
        <v>1.7528352033206087</v>
      </c>
      <c r="F226" s="16">
        <f t="shared" si="121"/>
        <v>1.7528352033206087</v>
      </c>
      <c r="G226" s="22" t="s">
        <v>32</v>
      </c>
      <c r="H226" s="28"/>
      <c r="I226" s="100"/>
      <c r="J226" s="203"/>
    </row>
    <row r="227" spans="1:13">
      <c r="A227" s="183"/>
      <c r="B227" s="167" t="s">
        <v>132</v>
      </c>
      <c r="C227" s="356">
        <f>0.75*SQRT($C$16)*0.083*(40*C$46/(C$220)+2)</f>
        <v>1.7451526499496535</v>
      </c>
      <c r="D227" s="16">
        <f>0.75*SQRT($C$16)*0.083*(40*D$46/(D$220)+2)</f>
        <v>1.7451526499496535</v>
      </c>
      <c r="E227" s="16">
        <f>0.75*SQRT($C$16)*0.083*(40*E$46/(E$220)+2)</f>
        <v>1.7451526499496535</v>
      </c>
      <c r="F227" s="16">
        <f>0.75*SQRT($C$16)*0.083*(40*F$46/(F$220)+2)</f>
        <v>1.7451526499496535</v>
      </c>
      <c r="G227" s="22" t="s">
        <v>32</v>
      </c>
      <c r="H227" s="28"/>
      <c r="I227" s="100"/>
      <c r="J227" s="203"/>
    </row>
    <row r="228" spans="1:13">
      <c r="A228" s="183"/>
      <c r="B228" s="167"/>
      <c r="C228" s="356">
        <f>+C224/C223</f>
        <v>1.3868254783399288</v>
      </c>
      <c r="D228" s="16">
        <f>+D224/D223</f>
        <v>1.3868254783399288</v>
      </c>
      <c r="E228" s="16">
        <f>+E224/E223</f>
        <v>1.3868254783399288</v>
      </c>
      <c r="F228" s="16">
        <f>+F224/F223</f>
        <v>1.3868254783399288</v>
      </c>
      <c r="G228" s="205"/>
      <c r="H228" s="126"/>
      <c r="I228" s="100"/>
      <c r="J228" s="203"/>
    </row>
    <row r="229" spans="1:13" ht="31.5" customHeight="1">
      <c r="A229" s="183"/>
      <c r="B229" s="362" t="s">
        <v>133</v>
      </c>
      <c r="C229" s="207" t="str">
        <f>IF(C223&lt;=C224,"OK","Aumentar espesor")</f>
        <v>OK</v>
      </c>
      <c r="D229" s="207" t="str">
        <f>IF(D223&lt;=D224,"OK","Aumentar espesor")</f>
        <v>OK</v>
      </c>
      <c r="E229" s="207" t="str">
        <f>IF(E223&lt;=E224,"OK","Aumentar espesor")</f>
        <v>OK</v>
      </c>
      <c r="F229" s="207" t="str">
        <f>IF(F223&lt;=F224,"OK","Aumentar espesor")</f>
        <v>OK</v>
      </c>
      <c r="G229" s="204"/>
      <c r="H229" s="28"/>
      <c r="I229" s="100"/>
      <c r="J229" s="203"/>
    </row>
    <row r="230" spans="1:13">
      <c r="A230" s="238"/>
      <c r="B230" s="1" t="s">
        <v>126</v>
      </c>
      <c r="C230" s="356">
        <f>+(C$215*C$42-$C$12*C$40-$C$14*C$47)*(C$42/2-C$39/2-C$46)</f>
        <v>487.22141249999993</v>
      </c>
      <c r="D230" s="16">
        <f>+(D$215*D$42-$C$12*D$40-$C$14*D$47)*(D$42/2-D$39/2-D$46)</f>
        <v>439.11855000000003</v>
      </c>
      <c r="E230" s="16">
        <f>+(E$215*E$42-$C$12*E$40-$C$14*E$47)*(E$42/2-E$39/2-E$46)</f>
        <v>439.11855000000003</v>
      </c>
      <c r="F230" s="16">
        <f>+(F$215*F$42-$C$12*F$40-$C$14*F$47)*(F$42/2-F$39/2-F$46)</f>
        <v>439.11855000000003</v>
      </c>
      <c r="G230" s="23" t="s">
        <v>41</v>
      </c>
      <c r="H230" s="28"/>
      <c r="I230" s="162" t="s">
        <v>323</v>
      </c>
      <c r="J230" s="203">
        <f>+MAX(C230:F230)</f>
        <v>487.22141249999993</v>
      </c>
      <c r="K230" t="s">
        <v>308</v>
      </c>
      <c r="L230" s="4">
        <f>+MIN(C231:F231)</f>
        <v>490.79385692977047</v>
      </c>
    </row>
    <row r="231" spans="1:13">
      <c r="A231" s="183"/>
      <c r="B231" s="1" t="s">
        <v>127</v>
      </c>
      <c r="C231" s="16">
        <f>+C233*1000*C$42*C$46</f>
        <v>490.79385692977047</v>
      </c>
      <c r="D231" s="16">
        <f t="shared" ref="D231:F231" si="122">+D233*1000*D$42*D$46</f>
        <v>490.79385692977047</v>
      </c>
      <c r="E231" s="16">
        <f t="shared" si="122"/>
        <v>490.79385692977047</v>
      </c>
      <c r="F231" s="16">
        <f t="shared" si="122"/>
        <v>490.79385692977047</v>
      </c>
      <c r="G231" s="23" t="s">
        <v>41</v>
      </c>
      <c r="H231" s="28"/>
      <c r="I231" s="100"/>
      <c r="J231" s="203"/>
    </row>
    <row r="232" spans="1:13">
      <c r="A232" s="183"/>
      <c r="B232" s="167" t="s">
        <v>134</v>
      </c>
      <c r="C232" s="356">
        <f>+C$230/($C$42*$C$46)/1000</f>
        <v>0.58002549107142842</v>
      </c>
      <c r="D232" s="16">
        <f>+D$230/($C$42*$C$46)/1000</f>
        <v>0.52276017857142854</v>
      </c>
      <c r="E232" s="16">
        <f>+E$230/($C$42*$C$46)/1000</f>
        <v>0.52276017857142854</v>
      </c>
      <c r="F232" s="16">
        <f>+F$230/($C$42*$C$46)/1000</f>
        <v>0.52276017857142854</v>
      </c>
      <c r="G232" s="22" t="s">
        <v>32</v>
      </c>
      <c r="H232" s="28"/>
      <c r="I232" s="100"/>
      <c r="J232" s="203"/>
    </row>
    <row r="233" spans="1:13">
      <c r="A233" s="183"/>
      <c r="B233" s="167" t="s">
        <v>135</v>
      </c>
      <c r="C233" s="356">
        <f>+SQRT($C$16)*0.17*0.75</f>
        <v>0.58427840110686968</v>
      </c>
      <c r="D233" s="16">
        <f t="shared" ref="D233:F233" si="123">+SQRT($C$16)*0.17*0.75</f>
        <v>0.58427840110686968</v>
      </c>
      <c r="E233" s="16">
        <f t="shared" si="123"/>
        <v>0.58427840110686968</v>
      </c>
      <c r="F233" s="16">
        <f t="shared" si="123"/>
        <v>0.58427840110686968</v>
      </c>
      <c r="G233" s="22" t="s">
        <v>32</v>
      </c>
      <c r="H233" s="126"/>
      <c r="I233" s="100"/>
      <c r="J233" s="203"/>
    </row>
    <row r="234" spans="1:13" ht="29.25" customHeight="1">
      <c r="A234" s="183"/>
      <c r="B234" s="362" t="s">
        <v>136</v>
      </c>
      <c r="C234" s="207" t="str">
        <f>IF(C230&lt;=C231,"OK","Aumentar espesor")</f>
        <v>OK</v>
      </c>
      <c r="D234" s="207" t="str">
        <f>IF(D230&lt;=D231,"OK","Aumentar espesor")</f>
        <v>OK</v>
      </c>
      <c r="E234" s="207" t="str">
        <f>IF(E230&lt;=E231,"OK","Aumentar espesor")</f>
        <v>OK</v>
      </c>
      <c r="F234" s="207" t="str">
        <f>IF(F230&lt;=F231,"OK","Aumentar espesor")</f>
        <v>OK</v>
      </c>
      <c r="G234" s="205"/>
      <c r="H234" s="28"/>
      <c r="I234" s="100"/>
      <c r="J234" s="236"/>
    </row>
    <row r="235" spans="1:13" ht="15.75" thickBot="1">
      <c r="A235" s="252"/>
      <c r="B235" s="275"/>
      <c r="C235" s="180"/>
      <c r="D235" s="180"/>
      <c r="E235" s="180"/>
      <c r="F235" s="180"/>
      <c r="G235" s="162"/>
      <c r="H235" s="28"/>
      <c r="I235" s="100"/>
      <c r="J235" s="203"/>
    </row>
    <row r="236" spans="1:13" ht="15.75" thickBot="1">
      <c r="A236" s="200" t="s">
        <v>137</v>
      </c>
      <c r="B236" s="200" t="s">
        <v>138</v>
      </c>
      <c r="C236" s="180"/>
      <c r="D236" s="180"/>
      <c r="E236" s="180"/>
      <c r="F236" s="180"/>
      <c r="G236" s="162"/>
      <c r="H236" s="28"/>
      <c r="I236" s="100"/>
      <c r="J236" s="203"/>
    </row>
    <row r="237" spans="1:13">
      <c r="A237" s="252"/>
      <c r="B237" s="164" t="s">
        <v>139</v>
      </c>
      <c r="C237" s="16">
        <f>+(C210-C$40*$C$12-(C$47)*$C$14)*C$42  *((C$42-C$39)/2)^2/2</f>
        <v>389.04197234375005</v>
      </c>
      <c r="D237" s="16">
        <f>+(D210-D$40*$C$12-(D$47)*$C$14)*D$42  *((D$42-D$39)/2)^2/2</f>
        <v>316.68725000000018</v>
      </c>
      <c r="E237" s="16">
        <f>+(E210-E$40*$C$12-(E$47)*$C$14)*E$42  *((E$42-E$39)/2)^2/2</f>
        <v>316.68725000000018</v>
      </c>
      <c r="F237" s="16">
        <f>+(F210-F$40*$C$12-(F$47)*$C$14)*F$42  *((F$42-F$39)/2)^2/2</f>
        <v>316.68725000000018</v>
      </c>
      <c r="G237" s="21" t="s">
        <v>77</v>
      </c>
      <c r="H237" s="28"/>
      <c r="I237" s="100"/>
      <c r="J237" s="203"/>
    </row>
    <row r="238" spans="1:13">
      <c r="A238" s="183"/>
      <c r="B238" s="1" t="s">
        <v>140</v>
      </c>
      <c r="C238" s="249">
        <f>0.85*$C$16/$C$15*(1-SQRT((1-2*$C$15/0.85/$C$16*((C237/0.9/C$42/C$46^2)/1000)/$C$15)))</f>
        <v>3.6581561630180588E-3</v>
      </c>
      <c r="D238" s="249">
        <f>0.85*$C$16/$C$15*(1-SQRT((1-2*$C$15/0.85/$C$16*((D237/D$42/D$46^2)/1000)/0.9/$C$15)))</f>
        <v>2.9521834844290829E-3</v>
      </c>
      <c r="E238" s="249">
        <f>0.85*$C$16/$C$15*(1-SQRT((1-2*$C$15/0.85/$C$16*((E237/E$42/E$46^2)/1000)/0.9/$C$15)))</f>
        <v>2.9521834844290829E-3</v>
      </c>
      <c r="F238" s="249">
        <f>0.85*$C$16/$C$15*(1-SQRT((1-2*$C$15/0.85/$C$16*((F237/F$42/F$46^2)/1000)/0.9/$C$15)))</f>
        <v>2.9521834844290829E-3</v>
      </c>
      <c r="G238" s="205"/>
      <c r="H238" s="28"/>
      <c r="I238" s="100"/>
      <c r="J238" s="203"/>
    </row>
    <row r="239" spans="1:13">
      <c r="A239" s="183"/>
      <c r="B239" s="1" t="s">
        <v>141</v>
      </c>
      <c r="C239" s="249">
        <v>1.8E-3</v>
      </c>
      <c r="D239" s="249">
        <v>1.8E-3</v>
      </c>
      <c r="E239" s="249">
        <v>1.8E-3</v>
      </c>
      <c r="F239" s="249">
        <v>1.8E-3</v>
      </c>
      <c r="G239" s="212"/>
      <c r="H239" s="28"/>
      <c r="J239" s="203"/>
    </row>
    <row r="240" spans="1:13" ht="17.25">
      <c r="A240" s="183"/>
      <c r="B240" s="1" t="s">
        <v>142</v>
      </c>
      <c r="C240" s="16">
        <f>C$42*C$40*100*100*MAX(C239,C238)</f>
        <v>35.118299164973365</v>
      </c>
      <c r="D240" s="16">
        <f>+IF(D239&gt;D238,D$42*D$40*100*100*D239,D$42*D40*100*100*D238)</f>
        <v>28.340961450519195</v>
      </c>
      <c r="E240" s="16">
        <f>+IF(E239&gt;E238,E$42*E$40*100*100*E239,E$42*E40*100*100*E238)</f>
        <v>28.340961450519195</v>
      </c>
      <c r="F240" s="16">
        <f>+IF(F239&gt;F238,F$42*F$40*100*100*F239,F$42*F40*100*100*F238)</f>
        <v>28.340961450519195</v>
      </c>
      <c r="G240" s="22" t="s">
        <v>143</v>
      </c>
      <c r="H240" s="28"/>
      <c r="I240" s="100"/>
      <c r="J240" s="203"/>
      <c r="M240" s="13"/>
    </row>
    <row r="241" spans="1:13">
      <c r="A241" s="183"/>
      <c r="B241" s="1" t="s">
        <v>144</v>
      </c>
      <c r="C241" s="276" t="s">
        <v>159</v>
      </c>
      <c r="D241" s="277" t="str">
        <f>+C241</f>
        <v>No. 7</v>
      </c>
      <c r="E241" s="277" t="str">
        <f>+D241</f>
        <v>No. 7</v>
      </c>
      <c r="F241" s="277" t="str">
        <f>+E241</f>
        <v>No. 7</v>
      </c>
      <c r="G241" s="214"/>
      <c r="H241" s="28"/>
      <c r="I241" s="100"/>
      <c r="J241" s="203"/>
      <c r="M241" s="13"/>
    </row>
    <row r="242" spans="1:13">
      <c r="A242" s="183"/>
      <c r="B242" s="1" t="str">
        <f>"Cantidad de barras "&amp;$C$241</f>
        <v>Cantidad de barras No. 7</v>
      </c>
      <c r="C242" s="240">
        <f>ROUNDUP(C240/VLOOKUP(C241,$K$256:$L$261,2,FALSE),0 )</f>
        <v>10</v>
      </c>
      <c r="D242" s="240">
        <f>ROUNDUP(D240/VLOOKUP(D241,$K$256:$L$261,2,FALSE),0 )</f>
        <v>8</v>
      </c>
      <c r="E242" s="240">
        <f>ROUNDUP(E240/VLOOKUP(E241,$K$256:$L$261,2,FALSE),0 )</f>
        <v>8</v>
      </c>
      <c r="F242" s="240">
        <f>ROUNDUP(F240/VLOOKUP(F241,$K$256:$L$261,2,FALSE),0 )</f>
        <v>8</v>
      </c>
      <c r="G242" s="302">
        <v>14</v>
      </c>
      <c r="H242" s="28"/>
      <c r="I242" s="100"/>
      <c r="J242" s="203"/>
      <c r="M242" s="13"/>
    </row>
    <row r="243" spans="1:13">
      <c r="A243" s="183"/>
      <c r="B243" s="1" t="s">
        <v>146</v>
      </c>
      <c r="C243" s="16">
        <f>(C$42-C$45*2)/($G$242-1)</f>
        <v>0.17692307692307691</v>
      </c>
      <c r="D243" s="16">
        <f>(D$42-D$45*2)/($G$242-1)</f>
        <v>0.17692307692307691</v>
      </c>
      <c r="E243" s="16">
        <f>(E$42-E$45*2)/($G$242-1)</f>
        <v>0.17692307692307691</v>
      </c>
      <c r="F243" s="16">
        <f>(F$42-F$45*2)/($G$242-1)</f>
        <v>0.17692307692307691</v>
      </c>
      <c r="G243" s="22" t="s">
        <v>50</v>
      </c>
      <c r="H243" s="28"/>
      <c r="I243" s="100"/>
      <c r="J243" s="203"/>
      <c r="M243" s="13"/>
    </row>
    <row r="244" spans="1:13" ht="15.75" thickBot="1">
      <c r="A244" s="252"/>
      <c r="C244" s="278"/>
      <c r="D244" s="278"/>
      <c r="E244" s="278"/>
      <c r="F244" s="278"/>
      <c r="G244" s="162"/>
      <c r="H244" s="28"/>
      <c r="I244" s="100"/>
      <c r="J244" s="203">
        <f>5*SQRT(6.9/1000)*39.37^2</f>
        <v>643.76206184945192</v>
      </c>
      <c r="M244" s="13"/>
    </row>
    <row r="245" spans="1:13" ht="15.75" thickBot="1">
      <c r="A245" s="200" t="s">
        <v>147</v>
      </c>
      <c r="B245" s="200" t="s">
        <v>148</v>
      </c>
      <c r="C245" s="100"/>
      <c r="D245" s="100"/>
      <c r="E245" s="100"/>
      <c r="F245" s="100"/>
      <c r="G245" s="162"/>
      <c r="H245" s="28"/>
      <c r="I245" s="100"/>
      <c r="J245" s="203"/>
      <c r="M245" s="13"/>
    </row>
    <row r="246" spans="1:13">
      <c r="A246" s="252"/>
      <c r="B246" s="164" t="s">
        <v>139</v>
      </c>
      <c r="C246" s="16">
        <f>+(($H$31-C$57)/(C42)*   ((C42-C39)/2)^2)/2</f>
        <v>154.76070000000001</v>
      </c>
      <c r="D246" s="16">
        <f>+(($H$31-D$57)/(D42)*   ((D42-D39)/2)^2)/2</f>
        <v>154.76070000000001</v>
      </c>
      <c r="E246" s="16">
        <f>+(($H$31-E$57)/(E42)*   ((E42-E39)/2)^2)/2</f>
        <v>154.76070000000001</v>
      </c>
      <c r="F246" s="16">
        <f>+(($H$31-F$57)/(F42)*   ((F42-F39)/2)^2)/2</f>
        <v>154.76070000000001</v>
      </c>
      <c r="G246" s="21" t="s">
        <v>77</v>
      </c>
      <c r="H246" s="28"/>
      <c r="I246" s="100"/>
      <c r="J246" s="203"/>
    </row>
    <row r="247" spans="1:13">
      <c r="A247" s="183"/>
      <c r="B247" s="1" t="s">
        <v>140</v>
      </c>
      <c r="C247" s="249">
        <f>0.85*$C$16/$C$15*(1-SQRT((1-2*$C$15/0.85/$C$16*((C246/C$42/C$46^2)/1000)/0.9/$C$15)))</f>
        <v>1.4161793646182907E-3</v>
      </c>
      <c r="D247" s="249">
        <f>0.85*$C$16/$C$15*(1-SQRT((1-2*$C$15/0.85/$C$16*((D246/D$42/D$46^2)/1000)/0.9/$C$15)))</f>
        <v>1.4161793646182907E-3</v>
      </c>
      <c r="E247" s="249">
        <f>0.85*$C$16/$C$15*(1-SQRT((1-2*$C$15/0.85/$C$16*((E246/E$42/E$46^2)/1000)/0.9/$C$15)))</f>
        <v>1.4161793646182907E-3</v>
      </c>
      <c r="F247" s="249">
        <f>0.85*$C$16/$C$15*(1-SQRT((1-2*$C$15/0.85/$C$16*((F246/F$42/F$46^2)/1000)/0.9/$C$15)))</f>
        <v>1.4161793646182907E-3</v>
      </c>
      <c r="G247" s="205"/>
      <c r="H247" s="28"/>
      <c r="I247" s="100"/>
      <c r="J247" s="203"/>
    </row>
    <row r="248" spans="1:13">
      <c r="A248" s="183"/>
      <c r="B248" s="1" t="s">
        <v>141</v>
      </c>
      <c r="C248" s="249">
        <v>1.8E-3</v>
      </c>
      <c r="D248" s="249">
        <v>1.8E-3</v>
      </c>
      <c r="E248" s="249">
        <v>1.8E-3</v>
      </c>
      <c r="F248" s="249">
        <v>1.8E-3</v>
      </c>
      <c r="G248" s="212"/>
      <c r="H248" s="28"/>
      <c r="I248" s="100"/>
      <c r="J248" s="203"/>
    </row>
    <row r="249" spans="1:13" ht="17.25">
      <c r="A249" s="183"/>
      <c r="B249" s="1" t="s">
        <v>142</v>
      </c>
      <c r="C249" s="16">
        <f>+IF(C248&gt;C247,C$42*C$40*100*100*C248,C$42*C40*100*100*C247)</f>
        <v>17.28</v>
      </c>
      <c r="D249" s="16">
        <f>+IF(D248&gt;D247,D$42*D$40*100*100*D248,D$42*D40*100*100*D247)</f>
        <v>17.28</v>
      </c>
      <c r="E249" s="16">
        <f>+IF(E248&gt;E247,E$42*E$40*100*100*E248,E$42*E40*100*100*E247)</f>
        <v>17.28</v>
      </c>
      <c r="F249" s="16">
        <f>+IF(F248&gt;F247,F$42*F$40*100*100*F248,F$42*F40*100*100*F247)</f>
        <v>17.28</v>
      </c>
      <c r="G249" s="22" t="s">
        <v>143</v>
      </c>
      <c r="H249" s="28"/>
      <c r="I249" s="100"/>
      <c r="J249" s="203"/>
    </row>
    <row r="250" spans="1:13">
      <c r="A250" s="183"/>
      <c r="B250" s="1" t="s">
        <v>144</v>
      </c>
      <c r="C250" s="276" t="str">
        <f>+C241</f>
        <v>No. 7</v>
      </c>
      <c r="D250" s="277" t="str">
        <f>+C250</f>
        <v>No. 7</v>
      </c>
      <c r="E250" s="277" t="str">
        <f>+D250</f>
        <v>No. 7</v>
      </c>
      <c r="F250" s="277" t="str">
        <f>+E250</f>
        <v>No. 7</v>
      </c>
      <c r="G250" s="22" t="s">
        <v>50</v>
      </c>
      <c r="H250" s="28"/>
      <c r="I250" s="100"/>
      <c r="J250" s="203"/>
    </row>
    <row r="251" spans="1:13">
      <c r="A251" s="183"/>
      <c r="B251" s="1" t="str">
        <f>"Cantidad de barras "&amp;$C$250</f>
        <v>Cantidad de barras No. 7</v>
      </c>
      <c r="C251" s="240">
        <f>ROUNDUP(C249/VLOOKUP(C250,$K$256:$L$261,2,FALSE),0 )</f>
        <v>5</v>
      </c>
      <c r="D251" s="240">
        <f>ROUNDUP(D249/VLOOKUP(D250,$K$256:$L$261,2,FALSE),0 )</f>
        <v>5</v>
      </c>
      <c r="E251" s="240">
        <f>ROUNDUP(E249/VLOOKUP(E250,$K$256:$L$261,2,FALSE),0 )</f>
        <v>5</v>
      </c>
      <c r="F251" s="240">
        <f>ROUNDUP(F249/VLOOKUP(F250,$K$256:$L$261,2,FALSE),0 )</f>
        <v>5</v>
      </c>
      <c r="G251" s="302">
        <f>+G242</f>
        <v>14</v>
      </c>
      <c r="H251" s="28"/>
      <c r="I251" s="100"/>
      <c r="J251" s="203"/>
    </row>
    <row r="252" spans="1:13">
      <c r="A252" s="183"/>
      <c r="B252" s="1" t="s">
        <v>146</v>
      </c>
      <c r="C252" s="16">
        <f>(C$42-C$45*2)/($G$251-1)</f>
        <v>0.17692307692307691</v>
      </c>
      <c r="D252" s="16">
        <f>(D$42-D$45*2)/($G$251-1)</f>
        <v>0.17692307692307691</v>
      </c>
      <c r="E252" s="16">
        <f>(E$42-E$45*2)/($G$251-1)</f>
        <v>0.17692307692307691</v>
      </c>
      <c r="F252" s="16">
        <f>(F$42-F$45*2)/($G$251-1)</f>
        <v>0.17692307692307691</v>
      </c>
      <c r="G252" s="22" t="s">
        <v>50</v>
      </c>
      <c r="H252" s="28"/>
      <c r="I252" s="100"/>
      <c r="J252" s="203"/>
    </row>
    <row r="253" spans="1:13" ht="15.75" thickBot="1">
      <c r="A253" s="252"/>
      <c r="C253" s="12"/>
      <c r="D253" s="12"/>
      <c r="E253" s="12"/>
      <c r="F253" s="12"/>
      <c r="H253" s="28"/>
      <c r="I253" s="100"/>
      <c r="J253" s="203"/>
    </row>
    <row r="254" spans="1:13" ht="15.75" thickBot="1">
      <c r="A254" s="200">
        <v>6.2</v>
      </c>
      <c r="B254" s="200" t="s">
        <v>149</v>
      </c>
      <c r="H254" s="28"/>
      <c r="I254" s="100"/>
      <c r="J254" s="203"/>
    </row>
    <row r="255" spans="1:13" ht="15.75" thickBot="1">
      <c r="A255" s="274"/>
      <c r="B255" s="31"/>
      <c r="D255" s="4"/>
      <c r="E255" s="4"/>
      <c r="H255" s="28"/>
      <c r="I255" s="100"/>
      <c r="J255" s="203"/>
      <c r="K255" s="383" t="s">
        <v>150</v>
      </c>
      <c r="L255" s="383"/>
      <c r="M255" s="100" t="s">
        <v>183</v>
      </c>
    </row>
    <row r="256" spans="1:13" ht="15.75" thickBot="1">
      <c r="A256" s="200" t="s">
        <v>151</v>
      </c>
      <c r="B256" s="200" t="s">
        <v>152</v>
      </c>
      <c r="H256" s="28"/>
      <c r="I256" s="100"/>
      <c r="J256" s="203"/>
      <c r="K256" s="94" t="s">
        <v>153</v>
      </c>
      <c r="L256" s="94">
        <v>0.71</v>
      </c>
      <c r="M256" s="7">
        <v>9.5249999999999986</v>
      </c>
    </row>
    <row r="257" spans="1:13">
      <c r="A257" s="209"/>
      <c r="B257" s="233" t="s">
        <v>92</v>
      </c>
      <c r="C257" s="232">
        <v>1</v>
      </c>
      <c r="D257" s="232">
        <v>1</v>
      </c>
      <c r="E257" s="232">
        <v>1</v>
      </c>
      <c r="F257" s="232">
        <v>1</v>
      </c>
      <c r="H257" s="28"/>
      <c r="I257" s="100"/>
      <c r="J257" s="203"/>
      <c r="K257" s="94" t="s">
        <v>154</v>
      </c>
      <c r="L257" s="94">
        <v>1.27</v>
      </c>
      <c r="M257" s="7">
        <v>12.7</v>
      </c>
    </row>
    <row r="258" spans="1:13">
      <c r="A258" s="183"/>
      <c r="B258" s="168" t="s">
        <v>155</v>
      </c>
      <c r="C258" s="356">
        <f>($C$30)-(C$281^2*C$282)*24</f>
        <v>-1221.5999999999999</v>
      </c>
      <c r="D258" s="241">
        <f>($C$30)-(D$281^2*D$282)*24</f>
        <v>-1221.5999999999999</v>
      </c>
      <c r="E258" s="241">
        <f>($C$30)-(E$281^2*E$282)*24</f>
        <v>-1221.5999999999999</v>
      </c>
      <c r="F258" s="241">
        <f>($C$30)-(F$281^2*F$282)*24</f>
        <v>-1221.5999999999999</v>
      </c>
      <c r="G258" s="18" t="s">
        <v>41</v>
      </c>
      <c r="H258" s="28"/>
      <c r="I258" s="100"/>
      <c r="J258" s="203"/>
      <c r="K258" s="94" t="s">
        <v>145</v>
      </c>
      <c r="L258" s="94">
        <v>1.99</v>
      </c>
      <c r="M258" s="7">
        <v>15.875</v>
      </c>
    </row>
    <row r="259" spans="1:13">
      <c r="A259" s="183"/>
      <c r="B259" s="78" t="s">
        <v>156</v>
      </c>
      <c r="C259" s="356">
        <f>+MAX(ABS(D30),ABS(E30))</f>
        <v>34.5</v>
      </c>
      <c r="D259" s="241">
        <f t="shared" ref="D259:F259" si="124">+SQRT(ABS($D$30)^2+ABS($E$30)^2)</f>
        <v>38.913365313218542</v>
      </c>
      <c r="E259" s="241">
        <f t="shared" si="124"/>
        <v>38.913365313218542</v>
      </c>
      <c r="F259" s="241">
        <f t="shared" si="124"/>
        <v>38.913365313218542</v>
      </c>
      <c r="G259" s="18" t="s">
        <v>41</v>
      </c>
      <c r="H259" s="28"/>
      <c r="I259" s="100"/>
      <c r="J259" s="203"/>
      <c r="K259" s="94" t="s">
        <v>157</v>
      </c>
      <c r="L259" s="94">
        <v>2.84</v>
      </c>
      <c r="M259" s="7">
        <v>19.049999999999997</v>
      </c>
    </row>
    <row r="260" spans="1:13">
      <c r="A260" s="183"/>
      <c r="B260" s="78" t="s">
        <v>158</v>
      </c>
      <c r="C260" s="356">
        <f>+$C$259*C$282</f>
        <v>124.2</v>
      </c>
      <c r="D260" s="241">
        <f>+$C$259*D$282</f>
        <v>124.2</v>
      </c>
      <c r="E260" s="241">
        <f>+$C$259*E$282</f>
        <v>124.2</v>
      </c>
      <c r="F260" s="241">
        <f>+$C$259*F$282</f>
        <v>124.2</v>
      </c>
      <c r="G260" s="18" t="s">
        <v>77</v>
      </c>
      <c r="H260" s="28"/>
      <c r="I260" s="100"/>
      <c r="J260" s="203"/>
      <c r="K260" s="94" t="s">
        <v>159</v>
      </c>
      <c r="L260" s="94">
        <v>3.85</v>
      </c>
      <c r="M260" s="7">
        <v>22.224999999999998</v>
      </c>
    </row>
    <row r="261" spans="1:13">
      <c r="A261" s="252"/>
      <c r="B261" s="211"/>
      <c r="C261" s="215"/>
      <c r="D261" s="215"/>
      <c r="E261" s="215"/>
      <c r="F261" s="215"/>
      <c r="G261" s="165"/>
      <c r="H261" s="28"/>
      <c r="I261" s="100"/>
      <c r="J261" s="203"/>
      <c r="K261" s="94" t="s">
        <v>160</v>
      </c>
      <c r="L261" s="94">
        <v>5.0999999999999996</v>
      </c>
      <c r="M261" s="7">
        <v>25.4</v>
      </c>
    </row>
    <row r="262" spans="1:13">
      <c r="A262" s="183"/>
      <c r="B262" s="233" t="s">
        <v>92</v>
      </c>
      <c r="C262" s="232">
        <v>2</v>
      </c>
      <c r="D262" s="232">
        <v>2</v>
      </c>
      <c r="E262" s="232">
        <v>2</v>
      </c>
      <c r="F262" s="232">
        <v>2</v>
      </c>
      <c r="G262" s="213"/>
      <c r="H262" s="28"/>
      <c r="I262" s="100"/>
      <c r="J262" s="203"/>
    </row>
    <row r="263" spans="1:13">
      <c r="A263" s="183"/>
      <c r="B263" s="168" t="s">
        <v>155</v>
      </c>
      <c r="C263" s="356">
        <f xml:space="preserve">    $C$31    -(C$281^2*C$282)*24</f>
        <v>953.4</v>
      </c>
      <c r="D263" s="241">
        <f xml:space="preserve">    $C$31    -(D$281^2*D$282)*24</f>
        <v>953.4</v>
      </c>
      <c r="E263" s="241">
        <f xml:space="preserve">    $C$31    -(E$281^2*E$282)*24</f>
        <v>953.4</v>
      </c>
      <c r="F263" s="241">
        <f xml:space="preserve">    $C$31    -(F$281^2*F$282)*24</f>
        <v>953.4</v>
      </c>
      <c r="G263" s="18" t="s">
        <v>41</v>
      </c>
      <c r="H263" s="28"/>
      <c r="I263" s="100"/>
      <c r="J263" s="203"/>
    </row>
    <row r="264" spans="1:13">
      <c r="A264" s="183"/>
      <c r="B264" s="78" t="s">
        <v>156</v>
      </c>
      <c r="C264" s="356">
        <f>+MAX(ABS(D31),ABS(E31))</f>
        <v>22.5</v>
      </c>
      <c r="D264" s="241">
        <f t="shared" ref="D264:F264" si="125">+SQRT(ABS($D$31)^2+ABS($E$31)^2)</f>
        <v>27.041634565979919</v>
      </c>
      <c r="E264" s="241">
        <f t="shared" si="125"/>
        <v>27.041634565979919</v>
      </c>
      <c r="F264" s="241">
        <f t="shared" si="125"/>
        <v>27.041634565979919</v>
      </c>
      <c r="G264" s="18" t="s">
        <v>41</v>
      </c>
      <c r="H264" s="28"/>
      <c r="I264" s="100"/>
      <c r="J264" s="203"/>
    </row>
    <row r="265" spans="1:13">
      <c r="A265" s="183"/>
      <c r="B265" s="78" t="s">
        <v>158</v>
      </c>
      <c r="C265" s="356">
        <f>+$C$264*C$282</f>
        <v>81</v>
      </c>
      <c r="D265" s="241">
        <f>+$C$264*D$282</f>
        <v>81</v>
      </c>
      <c r="E265" s="241">
        <f>+$C$264*E$282</f>
        <v>81</v>
      </c>
      <c r="F265" s="241">
        <f>+$C$264*F$282</f>
        <v>81</v>
      </c>
      <c r="G265" s="18" t="s">
        <v>77</v>
      </c>
      <c r="H265" s="28"/>
      <c r="I265" s="100"/>
      <c r="J265" s="203"/>
    </row>
    <row r="266" spans="1:13">
      <c r="A266" s="210"/>
      <c r="B266" s="31"/>
      <c r="C266" s="215"/>
      <c r="D266" s="215"/>
      <c r="E266" s="215"/>
      <c r="F266" s="215"/>
      <c r="G266" s="165"/>
      <c r="H266" s="28"/>
      <c r="I266" s="100"/>
      <c r="J266" s="203"/>
    </row>
    <row r="267" spans="1:13">
      <c r="A267" s="210"/>
      <c r="B267" s="233" t="s">
        <v>92</v>
      </c>
      <c r="C267" s="232">
        <v>3</v>
      </c>
      <c r="D267" s="232">
        <v>3</v>
      </c>
      <c r="E267" s="232">
        <v>3</v>
      </c>
      <c r="F267" s="232">
        <v>3</v>
      </c>
      <c r="G267" s="213"/>
      <c r="H267" s="28"/>
      <c r="I267" s="100"/>
      <c r="J267" s="203"/>
    </row>
    <row r="268" spans="1:13">
      <c r="A268" s="183"/>
      <c r="B268" s="78" t="s">
        <v>155</v>
      </c>
      <c r="C268" s="356">
        <f>$C$32-(C$281^2*C$282)*24</f>
        <v>-21.6</v>
      </c>
      <c r="D268" s="241">
        <f>$C$32-(D$281^2*D$282)*24</f>
        <v>-21.6</v>
      </c>
      <c r="E268" s="241">
        <f>$C$32-(E$281^2*E$282)*24</f>
        <v>-21.6</v>
      </c>
      <c r="F268" s="241">
        <f>$C$32-(F$281^2*F$282)*24</f>
        <v>-21.6</v>
      </c>
      <c r="G268" s="18" t="s">
        <v>41</v>
      </c>
      <c r="H268" s="28"/>
      <c r="I268" s="100"/>
      <c r="J268" s="203"/>
    </row>
    <row r="269" spans="1:13">
      <c r="A269" s="183"/>
      <c r="B269" s="78" t="s">
        <v>156</v>
      </c>
      <c r="C269" s="356">
        <f>+MAX(ABS(D32),ABS(E32))</f>
        <v>45</v>
      </c>
      <c r="D269" s="241">
        <f t="shared" ref="D269:F269" si="126">+SQRT(ABS($D$32)^2+ABS($E$32)^2)</f>
        <v>54.083269131959838</v>
      </c>
      <c r="E269" s="241">
        <f t="shared" si="126"/>
        <v>54.083269131959838</v>
      </c>
      <c r="F269" s="241">
        <f t="shared" si="126"/>
        <v>54.083269131959838</v>
      </c>
      <c r="G269" s="18" t="s">
        <v>41</v>
      </c>
      <c r="H269" s="28"/>
      <c r="I269" s="100"/>
      <c r="J269" s="203"/>
    </row>
    <row r="270" spans="1:13">
      <c r="A270" s="183"/>
      <c r="B270" s="78" t="s">
        <v>158</v>
      </c>
      <c r="C270" s="356">
        <f>+$C$269*C$282</f>
        <v>162</v>
      </c>
      <c r="D270" s="241">
        <f>+$C$269*D$282</f>
        <v>162</v>
      </c>
      <c r="E270" s="241">
        <f>+$C$269*E$282</f>
        <v>162</v>
      </c>
      <c r="F270" s="241">
        <f>+$C$269*F$282</f>
        <v>162</v>
      </c>
      <c r="G270" s="18" t="s">
        <v>77</v>
      </c>
      <c r="H270" s="28"/>
      <c r="I270" s="100"/>
      <c r="J270" s="203"/>
    </row>
    <row r="271" spans="1:13">
      <c r="A271" s="252"/>
      <c r="B271" s="211"/>
      <c r="C271" s="216"/>
      <c r="D271" s="216"/>
      <c r="E271" s="216"/>
      <c r="F271" s="216"/>
      <c r="G271" s="165"/>
      <c r="H271" s="28"/>
      <c r="I271" s="100"/>
      <c r="J271" s="203"/>
    </row>
    <row r="272" spans="1:13">
      <c r="A272" s="183"/>
      <c r="B272" s="233" t="s">
        <v>92</v>
      </c>
      <c r="C272" s="232">
        <v>4</v>
      </c>
      <c r="D272" s="232">
        <v>4</v>
      </c>
      <c r="E272" s="232">
        <v>4</v>
      </c>
      <c r="F272" s="232">
        <v>4</v>
      </c>
      <c r="G272" s="213"/>
      <c r="H272" s="28"/>
      <c r="I272" s="100"/>
      <c r="J272" s="203"/>
    </row>
    <row r="273" spans="1:10">
      <c r="A273" s="183"/>
      <c r="B273" s="78" t="s">
        <v>155</v>
      </c>
      <c r="C273" s="356">
        <f>$C$33-(C$281^2*C$282)*24</f>
        <v>278.39999999999998</v>
      </c>
      <c r="D273" s="241">
        <f>$C$33-(D$281^2*D$282)*24</f>
        <v>278.39999999999998</v>
      </c>
      <c r="E273" s="241">
        <f>$C$33-(E$281^2*E$282)*24</f>
        <v>278.39999999999998</v>
      </c>
      <c r="F273" s="241">
        <f>$C$33-(F$281^2*F$282)*24</f>
        <v>278.39999999999998</v>
      </c>
      <c r="G273" s="18" t="s">
        <v>41</v>
      </c>
      <c r="H273" s="28"/>
      <c r="I273" s="100"/>
    </row>
    <row r="274" spans="1:10">
      <c r="A274" s="183"/>
      <c r="B274" s="78" t="s">
        <v>156</v>
      </c>
      <c r="C274" s="356">
        <f>+MAX(ABS(D33),ABS(E33))</f>
        <v>52.5</v>
      </c>
      <c r="D274" s="241">
        <f t="shared" ref="D274:F274" si="127">+SQRT(ABS($D$33)^2+ABS($E$33)^2)</f>
        <v>54.600824169603889</v>
      </c>
      <c r="E274" s="241">
        <f t="shared" si="127"/>
        <v>54.600824169603889</v>
      </c>
      <c r="F274" s="16">
        <f t="shared" si="127"/>
        <v>54.600824169603889</v>
      </c>
      <c r="G274" s="18" t="s">
        <v>41</v>
      </c>
      <c r="H274" s="28"/>
      <c r="I274" s="100"/>
    </row>
    <row r="275" spans="1:10">
      <c r="A275" s="183"/>
      <c r="B275" s="78" t="s">
        <v>158</v>
      </c>
      <c r="C275" s="356">
        <f>+$C$274*C$282</f>
        <v>189</v>
      </c>
      <c r="D275" s="241">
        <f>+$C$274*D$282</f>
        <v>189</v>
      </c>
      <c r="E275" s="241">
        <f>+$C$274*E$282</f>
        <v>189</v>
      </c>
      <c r="F275" s="16">
        <f>+$C$274*F$282</f>
        <v>189</v>
      </c>
      <c r="G275" s="18" t="s">
        <v>77</v>
      </c>
      <c r="H275" s="28"/>
      <c r="I275" s="100"/>
    </row>
    <row r="276" spans="1:10" ht="15.75" thickBot="1">
      <c r="A276" s="252"/>
      <c r="H276" s="28"/>
      <c r="I276" s="100"/>
    </row>
    <row r="277" spans="1:10" ht="15.75" thickBot="1">
      <c r="A277" s="200" t="s">
        <v>161</v>
      </c>
      <c r="B277" s="250" t="s">
        <v>162</v>
      </c>
      <c r="C277" s="351"/>
      <c r="H277" s="28"/>
      <c r="I277" s="100"/>
      <c r="J277" s="203"/>
    </row>
    <row r="278" spans="1:10">
      <c r="A278" s="209"/>
      <c r="B278" s="164" t="s">
        <v>163</v>
      </c>
      <c r="C278" s="169">
        <f>+C$43</f>
        <v>3</v>
      </c>
      <c r="D278" s="5">
        <f>+D$43</f>
        <v>3</v>
      </c>
      <c r="E278" s="5">
        <f>+E$43</f>
        <v>3</v>
      </c>
      <c r="F278" s="5">
        <f>+F$43</f>
        <v>3</v>
      </c>
      <c r="G278" s="1" t="s">
        <v>50</v>
      </c>
      <c r="H278" s="28"/>
      <c r="I278" s="100"/>
      <c r="J278" s="203"/>
    </row>
    <row r="279" spans="1:10">
      <c r="A279" s="183"/>
      <c r="B279" s="1" t="s">
        <v>51</v>
      </c>
      <c r="C279" s="5">
        <f>+C$40</f>
        <v>0.4</v>
      </c>
      <c r="D279" s="5">
        <f>+D$40</f>
        <v>0.4</v>
      </c>
      <c r="E279" s="5">
        <f>+E$40</f>
        <v>0.4</v>
      </c>
      <c r="F279" s="5">
        <f>+F$40</f>
        <v>0.4</v>
      </c>
      <c r="G279" s="1" t="s">
        <v>50</v>
      </c>
      <c r="H279" s="28"/>
      <c r="I279" s="100"/>
      <c r="J279" s="203"/>
    </row>
    <row r="280" spans="1:10">
      <c r="A280" s="183"/>
      <c r="B280" s="1" t="s">
        <v>164</v>
      </c>
      <c r="C280" s="5">
        <f>+C$38</f>
        <v>1</v>
      </c>
      <c r="D280" s="1">
        <f>+D$38</f>
        <v>1</v>
      </c>
      <c r="E280" s="1">
        <f>+E$38</f>
        <v>1</v>
      </c>
      <c r="F280" s="1">
        <f>+F$38</f>
        <v>1</v>
      </c>
      <c r="G280" s="1" t="s">
        <v>50</v>
      </c>
      <c r="H280" s="28"/>
      <c r="I280" s="100"/>
      <c r="J280" s="203"/>
    </row>
    <row r="281" spans="1:10">
      <c r="A281" s="183"/>
      <c r="B281" s="1" t="s">
        <v>326</v>
      </c>
      <c r="C281" s="5">
        <f>+C$39</f>
        <v>0.5</v>
      </c>
      <c r="D281" s="5">
        <f>+D$39</f>
        <v>0.5</v>
      </c>
      <c r="E281" s="5">
        <f>+E$39</f>
        <v>0.5</v>
      </c>
      <c r="F281" s="5">
        <f>+F$39</f>
        <v>0.5</v>
      </c>
      <c r="G281" s="1" t="s">
        <v>50</v>
      </c>
      <c r="H281" s="28"/>
      <c r="I281" s="100"/>
      <c r="J281" s="203"/>
    </row>
    <row r="282" spans="1:10">
      <c r="A282" s="183"/>
      <c r="B282" s="1" t="s">
        <v>165</v>
      </c>
      <c r="C282" s="5">
        <f>+C278-C279+C280</f>
        <v>3.6</v>
      </c>
      <c r="D282" s="1">
        <f>+D278-D279+D280</f>
        <v>3.6</v>
      </c>
      <c r="E282" s="1">
        <f>+E278-E279+E280</f>
        <v>3.6</v>
      </c>
      <c r="F282" s="5">
        <f>+F278-F279+F280</f>
        <v>3.6</v>
      </c>
      <c r="G282" s="1" t="s">
        <v>50</v>
      </c>
      <c r="H282" s="28"/>
      <c r="I282" s="100"/>
      <c r="J282" s="203"/>
    </row>
    <row r="283" spans="1:10">
      <c r="A283" s="183"/>
      <c r="B283" s="1" t="s">
        <v>166</v>
      </c>
      <c r="C283" s="1">
        <f>+$C$16</f>
        <v>21</v>
      </c>
      <c r="D283" s="1">
        <f>+$C$16</f>
        <v>21</v>
      </c>
      <c r="E283" s="1">
        <f>+$C$16</f>
        <v>21</v>
      </c>
      <c r="F283" s="1">
        <f>+$C$16</f>
        <v>21</v>
      </c>
      <c r="G283" s="1" t="s">
        <v>32</v>
      </c>
      <c r="H283" s="28"/>
      <c r="I283" s="100"/>
      <c r="J283" s="203"/>
    </row>
    <row r="284" spans="1:10">
      <c r="A284" s="183"/>
      <c r="B284" s="1" t="s">
        <v>167</v>
      </c>
      <c r="C284" s="1">
        <f>+$C$15</f>
        <v>420</v>
      </c>
      <c r="D284" s="1">
        <f>+$C$15</f>
        <v>420</v>
      </c>
      <c r="E284" s="1">
        <f>+$C$15</f>
        <v>420</v>
      </c>
      <c r="F284" s="1">
        <f>+$C$15</f>
        <v>420</v>
      </c>
      <c r="G284" s="1" t="s">
        <v>32</v>
      </c>
      <c r="H284" s="28"/>
      <c r="I284" s="100"/>
      <c r="J284" s="203"/>
    </row>
    <row r="285" spans="1:10">
      <c r="A285" s="183"/>
      <c r="B285" s="1" t="s">
        <v>168</v>
      </c>
      <c r="C285" s="3">
        <f>4700*SQRT(C283)*1000</f>
        <v>21538105.766292445</v>
      </c>
      <c r="D285" s="3">
        <f>4700*SQRT(D283)*1000</f>
        <v>21538105.766292445</v>
      </c>
      <c r="E285" s="3">
        <f>4700*SQRT(E283)*1000</f>
        <v>21538105.766292445</v>
      </c>
      <c r="F285" s="3">
        <f>4700*SQRT(F283)*1000</f>
        <v>21538105.766292445</v>
      </c>
      <c r="G285" s="1" t="s">
        <v>13</v>
      </c>
      <c r="H285" s="28"/>
      <c r="I285" s="100"/>
      <c r="J285" s="203"/>
    </row>
    <row r="286" spans="1:10" ht="17.25">
      <c r="A286" s="183"/>
      <c r="B286" s="1" t="s">
        <v>169</v>
      </c>
      <c r="C286" s="6">
        <f>C281^4/12</f>
        <v>5.208333333333333E-3</v>
      </c>
      <c r="D286" s="6">
        <f t="shared" ref="D286:E286" si="128">D281^4/12</f>
        <v>5.208333333333333E-3</v>
      </c>
      <c r="E286" s="6">
        <f t="shared" si="128"/>
        <v>5.208333333333333E-3</v>
      </c>
      <c r="F286" s="6">
        <f>F281^4/12</f>
        <v>5.208333333333333E-3</v>
      </c>
      <c r="G286" s="1" t="s">
        <v>170</v>
      </c>
      <c r="H286" s="28"/>
      <c r="I286" s="100"/>
      <c r="J286" s="203"/>
    </row>
    <row r="287" spans="1:10" ht="15.75" thickBot="1">
      <c r="A287" s="252"/>
      <c r="H287" s="28"/>
      <c r="I287" s="100"/>
      <c r="J287" s="203"/>
    </row>
    <row r="288" spans="1:10" ht="15.75" thickBot="1">
      <c r="A288" s="200" t="s">
        <v>171</v>
      </c>
      <c r="B288" s="200" t="s">
        <v>172</v>
      </c>
      <c r="H288" s="28"/>
      <c r="I288" s="100"/>
      <c r="J288" s="203"/>
    </row>
    <row r="289" spans="1:10">
      <c r="A289" s="209"/>
      <c r="B289" s="164" t="s">
        <v>173</v>
      </c>
      <c r="C289" s="356">
        <f>0.3*C281</f>
        <v>0.15</v>
      </c>
      <c r="D289" s="5">
        <f t="shared" ref="D289:F289" si="129">0.3*D281</f>
        <v>0.15</v>
      </c>
      <c r="E289" s="5">
        <f t="shared" si="129"/>
        <v>0.15</v>
      </c>
      <c r="F289" s="5">
        <f t="shared" si="129"/>
        <v>0.15</v>
      </c>
      <c r="G289" s="18" t="s">
        <v>50</v>
      </c>
      <c r="H289" s="28"/>
      <c r="I289" s="100"/>
      <c r="J289" s="203"/>
    </row>
    <row r="290" spans="1:10">
      <c r="A290" s="183"/>
      <c r="B290" s="1" t="s">
        <v>174</v>
      </c>
      <c r="C290" s="356">
        <v>2.1</v>
      </c>
      <c r="D290" s="5">
        <v>2.1</v>
      </c>
      <c r="E290" s="5">
        <v>2.1</v>
      </c>
      <c r="F290" s="5">
        <v>2.1</v>
      </c>
      <c r="G290" s="217"/>
      <c r="H290" s="28"/>
      <c r="I290" s="100"/>
      <c r="J290" s="203"/>
    </row>
    <row r="291" spans="1:10">
      <c r="A291" s="183"/>
      <c r="B291" s="1" t="s">
        <v>175</v>
      </c>
      <c r="C291" s="356">
        <f>+C290*C282/C289</f>
        <v>50.400000000000006</v>
      </c>
      <c r="D291" s="5">
        <f>+D290*D282/D289</f>
        <v>50.400000000000006</v>
      </c>
      <c r="E291" s="5">
        <f>+E290*E282/E289</f>
        <v>50.400000000000006</v>
      </c>
      <c r="F291" s="5">
        <f>+F290*F282/F289</f>
        <v>50.400000000000006</v>
      </c>
      <c r="G291" s="194"/>
      <c r="H291" s="228"/>
      <c r="I291" s="100"/>
      <c r="J291" s="203"/>
    </row>
    <row r="292" spans="1:10">
      <c r="A292" s="183"/>
      <c r="B292" s="1" t="s">
        <v>321</v>
      </c>
      <c r="C292" s="16" t="str">
        <f>+IF(C291&gt;22,"Revisar","OK")</f>
        <v>Revisar</v>
      </c>
      <c r="D292" s="16" t="str">
        <f t="shared" ref="D292:F292" si="130">+IF(D291&gt;22,"Revisar","OK")</f>
        <v>Revisar</v>
      </c>
      <c r="E292" s="16" t="str">
        <f t="shared" si="130"/>
        <v>Revisar</v>
      </c>
      <c r="F292" s="16" t="str">
        <f t="shared" si="130"/>
        <v>Revisar</v>
      </c>
      <c r="G292" s="194"/>
      <c r="H292" s="228"/>
      <c r="I292" s="100"/>
      <c r="J292" s="203"/>
    </row>
    <row r="293" spans="1:10">
      <c r="A293" s="183"/>
      <c r="B293" s="171" t="s">
        <v>176</v>
      </c>
      <c r="C293" s="1">
        <v>0.6</v>
      </c>
      <c r="D293" s="1">
        <v>0.6</v>
      </c>
      <c r="E293" s="1">
        <v>0.6</v>
      </c>
      <c r="F293" s="1">
        <v>0.6</v>
      </c>
      <c r="G293" s="192"/>
      <c r="H293" s="28"/>
      <c r="I293" s="100"/>
      <c r="J293" s="203"/>
    </row>
    <row r="294" spans="1:10" ht="17.25">
      <c r="A294" s="183"/>
      <c r="B294" s="1" t="s">
        <v>320</v>
      </c>
      <c r="C294" s="3">
        <f>0.4*C$285*C$286/(1+C$293)</f>
        <v>28044.408549859952</v>
      </c>
      <c r="D294" s="3">
        <f>0.4*D$285*D$286/(1+D$293)</f>
        <v>28044.408549859952</v>
      </c>
      <c r="E294" s="3">
        <f>0.4*E$285*E$286/(1+E$293)</f>
        <v>28044.408549859952</v>
      </c>
      <c r="F294" s="3">
        <f>0.4*F$285*F$286/(1+F$293)</f>
        <v>28044.408549859952</v>
      </c>
      <c r="G294" s="18" t="s">
        <v>177</v>
      </c>
      <c r="H294" s="28"/>
      <c r="I294" s="100"/>
      <c r="J294" s="203"/>
    </row>
    <row r="295" spans="1:10" ht="15.75" thickBot="1">
      <c r="A295" s="252"/>
      <c r="H295" s="28"/>
      <c r="I295" s="100"/>
      <c r="J295" s="203"/>
    </row>
    <row r="296" spans="1:10" ht="15.75" thickBot="1">
      <c r="A296" s="200" t="s">
        <v>178</v>
      </c>
      <c r="B296" s="250" t="s">
        <v>179</v>
      </c>
      <c r="C296" s="351"/>
      <c r="H296" s="28"/>
      <c r="I296" s="100"/>
      <c r="J296" s="203"/>
    </row>
    <row r="297" spans="1:10">
      <c r="A297" s="209"/>
      <c r="B297" s="164" t="s">
        <v>310</v>
      </c>
      <c r="C297" s="169">
        <v>1</v>
      </c>
      <c r="D297" s="5">
        <v>1</v>
      </c>
      <c r="E297" s="5">
        <v>1</v>
      </c>
      <c r="F297" s="5">
        <v>1</v>
      </c>
      <c r="H297" s="28"/>
      <c r="I297" s="100"/>
      <c r="J297" s="203"/>
    </row>
    <row r="298" spans="1:10">
      <c r="A298" s="183"/>
      <c r="B298" s="1" t="s">
        <v>311</v>
      </c>
      <c r="C298" s="3">
        <f>PI()^2*C294/(C290*C282)^2</f>
        <v>4842.8658570876696</v>
      </c>
      <c r="D298" s="3">
        <f>PI()^2*D294/(D290*D282)^2</f>
        <v>4842.8658570876696</v>
      </c>
      <c r="E298" s="3">
        <f>PI()^2*E294/(E290*E282)^2</f>
        <v>4842.8658570876696</v>
      </c>
      <c r="F298" s="3">
        <f>PI()^2*F294/(F290*F282)^2</f>
        <v>4842.8658570876696</v>
      </c>
      <c r="G298" s="18" t="s">
        <v>41</v>
      </c>
      <c r="H298" s="28"/>
      <c r="I298" s="100"/>
      <c r="J298" s="203"/>
    </row>
    <row r="299" spans="1:10">
      <c r="A299" s="183"/>
      <c r="B299" s="1" t="s">
        <v>312</v>
      </c>
      <c r="C299" s="1">
        <v>0.75</v>
      </c>
      <c r="D299" s="1">
        <v>0.75</v>
      </c>
      <c r="E299" s="1">
        <v>0.75</v>
      </c>
      <c r="F299" s="1">
        <v>0.75</v>
      </c>
      <c r="G299" s="217"/>
      <c r="H299" s="28"/>
      <c r="I299" s="100"/>
      <c r="J299" s="203"/>
    </row>
    <row r="300" spans="1:10">
      <c r="A300" s="183"/>
      <c r="B300" s="1" t="s">
        <v>334</v>
      </c>
      <c r="C300" s="356">
        <f>+IF(C258&lt;0,C$297/(1-ABS(C258)/(0.75*C$298)),"No Aplica")</f>
        <v>1.5067724410214445</v>
      </c>
      <c r="D300" s="16">
        <f>+IF(D258&lt;0,D$297/(1-ABS(D258)/(0.75*D$298)),"No Aplica")</f>
        <v>1.5067724410214445</v>
      </c>
      <c r="E300" s="16">
        <f>+IF(E258&lt;0,E$297/(1-ABS(E258)/(0.75*E$298)),"No Aplica")</f>
        <v>1.5067724410214445</v>
      </c>
      <c r="F300" s="16">
        <f>+IF(F258&lt;0,F$297/(1-ABS(F258)/(0.75*F$298)),"No Aplica")</f>
        <v>1.5067724410214445</v>
      </c>
      <c r="G300" s="194"/>
      <c r="H300" s="28"/>
      <c r="I300" s="100"/>
      <c r="J300" s="203"/>
    </row>
    <row r="301" spans="1:10">
      <c r="A301" s="183"/>
      <c r="B301" s="1" t="s">
        <v>335</v>
      </c>
      <c r="C301" s="16" t="str">
        <f>+IF(C263&lt;0,C$297/(1-ABS(C263)/(0.75*C$298)),"No Aplica")</f>
        <v>No Aplica</v>
      </c>
      <c r="D301" s="16" t="str">
        <f>+IF(D263&lt;0,D$297/(1-ABS(D263)/(0.75*D$298)),"No Aplica")</f>
        <v>No Aplica</v>
      </c>
      <c r="E301" s="16" t="str">
        <f>+IF(E263&lt;0,E$297/(1-ABS(E263)/(0.75*E$298)),"No Aplica")</f>
        <v>No Aplica</v>
      </c>
      <c r="F301" s="16" t="str">
        <f>+IF(F263&lt;0,F$297/(1-ABS(F263)/(0.75*F$298)),"No Aplica")</f>
        <v>No Aplica</v>
      </c>
      <c r="G301" s="194"/>
      <c r="H301" s="28"/>
      <c r="I301" s="100"/>
      <c r="J301" s="203"/>
    </row>
    <row r="302" spans="1:10">
      <c r="A302" s="183"/>
      <c r="B302" s="1" t="s">
        <v>336</v>
      </c>
      <c r="C302" s="16">
        <f>+IF(C268&lt;0,C$297/(1-ABS(C268)/(0.75*C$298)),"No Aplica")</f>
        <v>1.0059824690511032</v>
      </c>
      <c r="D302" s="16">
        <f>+IF(D268&lt;0,D$297/(1-ABS(D268)/(0.75*D$298)),"No Aplica")</f>
        <v>1.0059824690511032</v>
      </c>
      <c r="E302" s="16">
        <f>+IF(E268&lt;0,E$297/(1-ABS(E268)/(0.75*E$298)),"No Aplica")</f>
        <v>1.0059824690511032</v>
      </c>
      <c r="F302" s="16">
        <f>+IF(F268&lt;0,F$297/(1-ABS(F268)/(0.75*F$298)),"No Aplica")</f>
        <v>1.0059824690511032</v>
      </c>
      <c r="G302" s="239"/>
      <c r="H302" s="28"/>
      <c r="I302" s="100"/>
      <c r="J302" s="203"/>
    </row>
    <row r="303" spans="1:10">
      <c r="A303" s="183"/>
      <c r="B303" s="1" t="s">
        <v>337</v>
      </c>
      <c r="C303" s="16" t="str">
        <f>+IF(C273&lt;0,C$297/(1-ABS(C273)/(0.75*C$298)),"No Aplica")</f>
        <v>No Aplica</v>
      </c>
      <c r="D303" s="16" t="str">
        <f>+IF(D273&lt;0,D$297/(1-ABS(D273)/(0.75*D$298)),"No Aplica")</f>
        <v>No Aplica</v>
      </c>
      <c r="E303" s="16" t="str">
        <f>+IF(E273&lt;0,E$297/(1-ABS(E273)/(0.75*E$298)),"No Aplica")</f>
        <v>No Aplica</v>
      </c>
      <c r="F303" s="16" t="str">
        <f>+IF(F273&lt;0,F$297/(1-ABS(F273)/(0.75*F$298)),"No Aplica")</f>
        <v>No Aplica</v>
      </c>
      <c r="G303" s="194"/>
      <c r="H303" s="28"/>
      <c r="I303" s="100"/>
      <c r="J303" s="203"/>
    </row>
    <row r="304" spans="1:10">
      <c r="A304" s="252"/>
      <c r="H304" s="28"/>
      <c r="I304" s="100"/>
      <c r="J304" s="203"/>
    </row>
    <row r="305" spans="1:10">
      <c r="A305" s="252"/>
      <c r="B305" s="233" t="s">
        <v>305</v>
      </c>
      <c r="C305" t="s">
        <v>444</v>
      </c>
      <c r="H305" s="28"/>
      <c r="I305" s="100"/>
      <c r="J305" s="203"/>
    </row>
    <row r="306" spans="1:10">
      <c r="A306" s="183"/>
      <c r="B306" s="164" t="s">
        <v>180</v>
      </c>
      <c r="C306" s="192"/>
      <c r="D306" s="213"/>
      <c r="E306" s="213"/>
      <c r="F306" s="213"/>
      <c r="G306" s="213"/>
      <c r="H306" s="28"/>
      <c r="I306" s="100"/>
      <c r="J306" s="203"/>
    </row>
    <row r="307" spans="1:10">
      <c r="A307" s="183"/>
      <c r="B307" s="167" t="s">
        <v>181</v>
      </c>
      <c r="C307" s="356">
        <f>+IF(C258&lt;0,C$300*C$260,C260)</f>
        <v>187.14113717486342</v>
      </c>
      <c r="D307" s="5">
        <f>+IF(D258&lt;0,D$300*D$260,D260)</f>
        <v>187.14113717486342</v>
      </c>
      <c r="E307" s="5">
        <f>+IF(E258&lt;0,E$300*E$260,E260)</f>
        <v>187.14113717486342</v>
      </c>
      <c r="F307" s="5">
        <f>+IF(F258&lt;0,F$300*F$260,F260)</f>
        <v>187.14113717486342</v>
      </c>
      <c r="G307" s="18" t="s">
        <v>77</v>
      </c>
      <c r="H307" s="28"/>
      <c r="I307" s="100"/>
      <c r="J307" s="203"/>
    </row>
    <row r="308" spans="1:10">
      <c r="A308" s="183"/>
      <c r="B308" s="1" t="s">
        <v>182</v>
      </c>
      <c r="C308" s="218"/>
      <c r="D308" s="218"/>
      <c r="E308" s="218"/>
      <c r="F308" s="218"/>
      <c r="G308" s="197"/>
      <c r="H308" s="28"/>
      <c r="I308" s="100"/>
      <c r="J308" s="203"/>
    </row>
    <row r="309" spans="1:10">
      <c r="A309" s="183"/>
      <c r="B309" s="167" t="s">
        <v>181</v>
      </c>
      <c r="C309" s="5">
        <f>+IF(C263&lt;0,C$300*C265,C265)</f>
        <v>81</v>
      </c>
      <c r="D309" s="5">
        <f>+IF(D263&lt;0,D$300*D265,D265)</f>
        <v>81</v>
      </c>
      <c r="E309" s="5">
        <f>+IF(E263&lt;0,E$300*E265,E265)</f>
        <v>81</v>
      </c>
      <c r="F309" s="5">
        <f>+IF(F263&lt;0,F$300*F265,F265)</f>
        <v>81</v>
      </c>
      <c r="G309" s="18" t="s">
        <v>77</v>
      </c>
      <c r="H309" s="28"/>
      <c r="I309" s="100"/>
      <c r="J309" s="203"/>
    </row>
    <row r="310" spans="1:10">
      <c r="A310" s="183"/>
      <c r="B310" s="1" t="s">
        <v>346</v>
      </c>
      <c r="C310" s="218"/>
      <c r="D310" s="218"/>
      <c r="E310" s="218"/>
      <c r="F310" s="218"/>
      <c r="G310" s="197"/>
      <c r="H310" s="28"/>
      <c r="I310" s="100"/>
      <c r="J310" s="203"/>
    </row>
    <row r="311" spans="1:10">
      <c r="A311" s="183"/>
      <c r="B311" s="167" t="s">
        <v>181</v>
      </c>
      <c r="C311" s="5">
        <f>+IF(C268&lt;0,C$302*C$270,C270)</f>
        <v>162.96915998627873</v>
      </c>
      <c r="D311" s="5">
        <f>+IF(D268&lt;0,D$302*D$270,D270)</f>
        <v>162.96915998627873</v>
      </c>
      <c r="E311" s="5">
        <f>+IF(E268&lt;0,E$302*E$270,E270)</f>
        <v>162.96915998627873</v>
      </c>
      <c r="F311" s="5">
        <f>+IF(F268&lt;0,F$302*F$270,F270)</f>
        <v>162.96915998627873</v>
      </c>
      <c r="G311" s="18" t="s">
        <v>77</v>
      </c>
      <c r="H311" s="28"/>
      <c r="I311" s="100"/>
      <c r="J311" s="203"/>
    </row>
    <row r="312" spans="1:10">
      <c r="A312" s="183"/>
      <c r="B312" s="1" t="s">
        <v>347</v>
      </c>
      <c r="C312" s="218"/>
      <c r="D312" s="218"/>
      <c r="E312" s="218"/>
      <c r="F312" s="218"/>
      <c r="G312" s="197"/>
      <c r="H312" s="28"/>
      <c r="I312" s="100"/>
      <c r="J312" s="203"/>
    </row>
    <row r="313" spans="1:10">
      <c r="A313" s="183"/>
      <c r="B313" s="167" t="s">
        <v>181</v>
      </c>
      <c r="C313" s="5">
        <f>+IF(C273&lt;0,C$303*C275,C275)</f>
        <v>189</v>
      </c>
      <c r="D313" s="5">
        <f>+IF(D273&lt;0,D$303*D275,D275)</f>
        <v>189</v>
      </c>
      <c r="E313" s="5">
        <f>+IF(E273&lt;0,E$303*E275,E275)</f>
        <v>189</v>
      </c>
      <c r="F313" s="5">
        <f>+IF(F273&lt;0,F$303*F275,F275)</f>
        <v>189</v>
      </c>
      <c r="G313" s="18" t="s">
        <v>77</v>
      </c>
      <c r="H313" s="28"/>
      <c r="I313" s="100"/>
      <c r="J313" s="203"/>
    </row>
    <row r="314" spans="1:10">
      <c r="A314" s="252"/>
      <c r="B314" s="165"/>
      <c r="H314" s="28"/>
      <c r="I314" s="100"/>
      <c r="J314" s="203"/>
    </row>
    <row r="315" spans="1:10">
      <c r="A315" s="183"/>
      <c r="B315" s="233" t="s">
        <v>306</v>
      </c>
      <c r="C315" t="s">
        <v>445</v>
      </c>
      <c r="H315" s="28"/>
      <c r="I315" s="100"/>
      <c r="J315" s="203"/>
    </row>
    <row r="316" spans="1:10">
      <c r="A316" s="183"/>
      <c r="B316" s="164" t="s">
        <v>338</v>
      </c>
      <c r="C316" s="356">
        <f>+C$259*C$282^3/(3*C$294)*1000</f>
        <v>19.131942078438996</v>
      </c>
      <c r="D316" s="7">
        <f>+D$259*D$282^3/(3*D$294)*1000</f>
        <v>21.579369601438678</v>
      </c>
      <c r="E316" s="7">
        <f>+E$259*E$282^3/(3*E$294)*1000</f>
        <v>21.579369601438678</v>
      </c>
      <c r="F316" s="7">
        <f>+F$259*F$282^3/(3*F$294)*1000</f>
        <v>21.579369601438678</v>
      </c>
      <c r="G316" s="18" t="s">
        <v>183</v>
      </c>
      <c r="H316" s="28"/>
      <c r="I316" s="100"/>
      <c r="J316" s="203"/>
    </row>
    <row r="317" spans="1:10">
      <c r="A317" s="183"/>
      <c r="B317" s="164" t="s">
        <v>339</v>
      </c>
      <c r="C317" s="7">
        <f>+C$264*C$282^3/(3*C$294)*1000</f>
        <v>12.477353529416739</v>
      </c>
      <c r="D317" s="7">
        <f>+D$264*D$282^3/(3*D$294)*1000</f>
        <v>14.995912644134542</v>
      </c>
      <c r="E317" s="7">
        <f>+E$264*E$282^3/(3*E$294)*1000</f>
        <v>14.995912644134542</v>
      </c>
      <c r="F317" s="7">
        <f>+F$264*F$282^3/(3*F$294)*1000</f>
        <v>14.995912644134542</v>
      </c>
      <c r="G317" s="18" t="s">
        <v>183</v>
      </c>
      <c r="H317" s="28"/>
      <c r="I317" s="100"/>
      <c r="J317" s="203"/>
    </row>
    <row r="318" spans="1:10">
      <c r="A318" s="183"/>
      <c r="B318" s="164" t="s">
        <v>340</v>
      </c>
      <c r="C318" s="7">
        <f>+C$269*C$282^3/(3*C$294)*1000</f>
        <v>24.954707058833478</v>
      </c>
      <c r="D318" s="7">
        <f>+D$269*D$282^3/(3*D$294)*1000</f>
        <v>29.991825288269084</v>
      </c>
      <c r="E318" s="7">
        <f>+E$269*E$282^3/(3*E$294)*1000</f>
        <v>29.991825288269084</v>
      </c>
      <c r="F318" s="7">
        <f>+F$269*F$282^3/(3*F$294)*1000</f>
        <v>29.991825288269084</v>
      </c>
      <c r="G318" s="18" t="s">
        <v>183</v>
      </c>
      <c r="H318" s="28"/>
      <c r="I318" s="100"/>
      <c r="J318" s="203"/>
    </row>
    <row r="319" spans="1:10">
      <c r="A319" s="183"/>
      <c r="B319" s="164" t="s">
        <v>341</v>
      </c>
      <c r="C319" s="7">
        <f>+C$274*C$282^3/(3*C$294)*1000</f>
        <v>29.113824901972389</v>
      </c>
      <c r="D319" s="7">
        <f>+D$274*D$282^3/(3*D$294)*1000</f>
        <v>30.278834940518657</v>
      </c>
      <c r="E319" s="7">
        <f>+E$274*E$282^3/(3*E$294)*1000</f>
        <v>30.278834940518657</v>
      </c>
      <c r="F319" s="7">
        <f>+F$274*F$282^3/(3*F$294)*1000</f>
        <v>30.278834940518657</v>
      </c>
      <c r="G319" s="18" t="s">
        <v>183</v>
      </c>
      <c r="H319" s="28"/>
      <c r="I319" s="100"/>
      <c r="J319" s="203"/>
    </row>
    <row r="320" spans="1:10" ht="15.75" thickBot="1">
      <c r="A320" s="254"/>
      <c r="B320" s="50"/>
      <c r="C320" s="50"/>
      <c r="D320" s="50"/>
      <c r="E320" s="50"/>
      <c r="F320" s="50"/>
      <c r="G320" s="50"/>
      <c r="H320" s="127"/>
      <c r="I320" s="100"/>
      <c r="J320" s="203"/>
    </row>
    <row r="321" spans="1:39">
      <c r="A321" s="253"/>
      <c r="B321" s="279" t="s">
        <v>184</v>
      </c>
      <c r="C321" s="31" t="s">
        <v>443</v>
      </c>
      <c r="H321" s="28"/>
      <c r="I321" s="100"/>
      <c r="J321" s="203"/>
    </row>
    <row r="322" spans="1:39" ht="15.75" thickBot="1">
      <c r="A322" s="219"/>
      <c r="B322" s="164" t="s">
        <v>342</v>
      </c>
      <c r="C322" s="356">
        <f>+IF(C258&lt;0,-C$258*C$316/1000,"Noaplica")</f>
        <v>23.371580443021077</v>
      </c>
      <c r="D322" s="16">
        <f>+IF(D258&lt;0,-D$258*D$316/1000,"Noaplica")</f>
        <v>26.361357905117487</v>
      </c>
      <c r="E322" s="16">
        <f>+IF(E258&lt;0,-E$258*E$316/1000,"Noaplica")</f>
        <v>26.361357905117487</v>
      </c>
      <c r="F322" s="16">
        <f>+IF(F258&lt;0,-F$258*F$316/1000,"Noaplica")</f>
        <v>26.361357905117487</v>
      </c>
      <c r="G322" s="18" t="s">
        <v>77</v>
      </c>
      <c r="H322" s="28"/>
      <c r="I322" s="100"/>
      <c r="J322" s="203"/>
      <c r="M322" s="49" t="s">
        <v>185</v>
      </c>
    </row>
    <row r="323" spans="1:39">
      <c r="A323" s="183"/>
      <c r="B323" s="164" t="s">
        <v>343</v>
      </c>
      <c r="C323" s="16" t="str">
        <f>+IF(C263&lt;0,-C$263*C$317/1000,"No aplica")</f>
        <v>No aplica</v>
      </c>
      <c r="D323" s="16" t="str">
        <f>+IF(D263&lt;0,-D$263*D$317/1000,"No aplica")</f>
        <v>No aplica</v>
      </c>
      <c r="E323" s="16" t="str">
        <f>+IF(E263&lt;0,-E$263*E$317/1000,"No aplica")</f>
        <v>No aplica</v>
      </c>
      <c r="F323" s="16" t="str">
        <f>+IF(F263&lt;0,-F$263*F$317/1000,"No aplica")</f>
        <v>No aplica</v>
      </c>
      <c r="G323" s="18" t="s">
        <v>77</v>
      </c>
      <c r="H323" s="28"/>
      <c r="I323" s="100"/>
      <c r="J323" s="203"/>
      <c r="M323" s="37" t="s">
        <v>186</v>
      </c>
      <c r="N323" s="38">
        <v>21</v>
      </c>
      <c r="O323" s="39" t="s">
        <v>187</v>
      </c>
      <c r="P323" s="40">
        <f>+N324/0.85/N323</f>
        <v>23.529411764705884</v>
      </c>
      <c r="Q323" s="41" t="s">
        <v>188</v>
      </c>
      <c r="R323" s="42">
        <f>MAX(1.4/N324,0.25*N323^0.5/N324)</f>
        <v>3.3333333333333331E-3</v>
      </c>
    </row>
    <row r="324" spans="1:39">
      <c r="A324" s="183"/>
      <c r="B324" s="164" t="s">
        <v>344</v>
      </c>
      <c r="C324" s="16">
        <f>+IF(C268&lt;0,-C$268*C$318/1000,"No aplica")</f>
        <v>0.53902167247080324</v>
      </c>
      <c r="D324" s="16">
        <f>+IF(D268&lt;0,-D$268*D$318/1000,"No aplica")</f>
        <v>0.64782342622661226</v>
      </c>
      <c r="E324" s="16">
        <f>+IF(E268&lt;0,-E$268*E$318/1000,"No aplica")</f>
        <v>0.64782342622661226</v>
      </c>
      <c r="F324" s="16">
        <f>+IF(F268&lt;0,-F$268*F$318/1000,"No aplica")</f>
        <v>0.64782342622661226</v>
      </c>
      <c r="G324" s="18" t="s">
        <v>77</v>
      </c>
      <c r="H324" s="28"/>
      <c r="I324" s="100"/>
      <c r="J324" s="203"/>
      <c r="M324" s="43" t="s">
        <v>189</v>
      </c>
      <c r="N324" s="44">
        <v>420</v>
      </c>
      <c r="O324" s="45" t="s">
        <v>190</v>
      </c>
      <c r="P324" s="46">
        <f>IF(N323&lt;=28,0.7225,0.7225-($B$4-28)*0.04/7)</f>
        <v>0.72250000000000003</v>
      </c>
      <c r="Q324" s="45" t="s">
        <v>191</v>
      </c>
      <c r="R324" s="47">
        <f>P324*N323/N324*(600/(600+N324))</f>
        <v>2.1250000000000002E-2</v>
      </c>
    </row>
    <row r="325" spans="1:39">
      <c r="A325" s="219"/>
      <c r="B325" s="164" t="s">
        <v>345</v>
      </c>
      <c r="C325" s="16" t="str">
        <f>+IF(C273&lt;0,-C$273*C$319/1000,"No aplica")</f>
        <v>No aplica</v>
      </c>
      <c r="D325" s="16" t="str">
        <f>+IF(D273&lt;0,-D$273*D$319/1000,"No aplica")</f>
        <v>No aplica</v>
      </c>
      <c r="E325" s="16" t="str">
        <f>+IF(E273&lt;0,-E$273*E$319/1000,"No aplica")</f>
        <v>No aplica</v>
      </c>
      <c r="F325" s="16" t="str">
        <f>+IF(F273&lt;0,-F$273*F$319/1000,"No aplica")</f>
        <v>No aplica</v>
      </c>
      <c r="G325" s="18" t="s">
        <v>77</v>
      </c>
      <c r="H325" s="28"/>
      <c r="I325" s="100"/>
      <c r="J325" s="203"/>
      <c r="M325" s="48"/>
      <c r="O325" s="45" t="s">
        <v>192</v>
      </c>
      <c r="P325" s="46">
        <f>IF(N323&lt;=28,0.85,0.85-0.05*($B$4-28)/7)</f>
        <v>0.85</v>
      </c>
      <c r="Q325" s="45" t="s">
        <v>193</v>
      </c>
      <c r="R325" s="47">
        <f>0.75*R324</f>
        <v>1.59375E-2</v>
      </c>
    </row>
    <row r="326" spans="1:39">
      <c r="H326" s="28"/>
      <c r="I326" s="100"/>
      <c r="J326" s="203"/>
      <c r="M326" s="48"/>
      <c r="O326" s="49"/>
      <c r="P326" s="49"/>
      <c r="Q326" s="45" t="s">
        <v>194</v>
      </c>
      <c r="R326" s="47">
        <f>R327*P324*N323/N324*600/(600+N324)</f>
        <v>1.59375E-2</v>
      </c>
    </row>
    <row r="327" spans="1:39" ht="15.75" thickBot="1">
      <c r="B327" s="233" t="s">
        <v>195</v>
      </c>
      <c r="C327" s="31" t="s">
        <v>442</v>
      </c>
      <c r="H327" s="28"/>
      <c r="I327" s="100"/>
      <c r="J327" s="203"/>
      <c r="M327" s="50"/>
      <c r="N327" s="50"/>
      <c r="O327" s="51"/>
      <c r="P327" s="51"/>
      <c r="Q327" s="52" t="s">
        <v>196</v>
      </c>
      <c r="R327" s="53">
        <v>0.75</v>
      </c>
    </row>
    <row r="328" spans="1:39">
      <c r="A328" s="219"/>
      <c r="B328" s="164" t="s">
        <v>342</v>
      </c>
      <c r="C328" s="356">
        <f>+IF(C$292&lt;&gt;"OK",      IF(C258&lt;0,C307+C322,C260),C260)</f>
        <v>210.5127176178845</v>
      </c>
      <c r="D328" s="5">
        <f>+IF(D$292&lt;&gt;"OK",      IF(D258&lt;0,D307+D322,D260),D260)</f>
        <v>213.50249507998092</v>
      </c>
      <c r="E328" s="5">
        <f>+IF(E$292&lt;&gt;"OK",      IF(E258&lt;0,E307+E322,E260),E260)</f>
        <v>213.50249507998092</v>
      </c>
      <c r="F328" s="5">
        <f>+IF(F$292&lt;&gt;"OK",      IF(F258&lt;0,F307+F322,F260),F260)</f>
        <v>213.50249507998092</v>
      </c>
      <c r="G328" s="18" t="s">
        <v>77</v>
      </c>
      <c r="H328" s="28"/>
      <c r="I328" s="100"/>
      <c r="J328" s="203"/>
      <c r="M328" s="35" t="s">
        <v>197</v>
      </c>
      <c r="N328" s="36"/>
      <c r="O328" s="35"/>
      <c r="P328" s="35"/>
      <c r="Q328" s="45"/>
      <c r="R328" s="54"/>
    </row>
    <row r="329" spans="1:39">
      <c r="A329" s="183"/>
      <c r="B329" s="164" t="s">
        <v>343</v>
      </c>
      <c r="C329" s="356">
        <f>+IF(C$292&lt;&gt;"OK",      IF(C263&lt;0,C309+C323,C265), C265)</f>
        <v>81</v>
      </c>
      <c r="D329" s="5">
        <f>+IF(D$292&lt;&gt;"OK",      IF(D263&lt;0,D309+D323,D265), D265)</f>
        <v>81</v>
      </c>
      <c r="E329" s="5">
        <f>+IF(E$292&lt;&gt;"OK",      IF(E263&lt;0,E309+E323,E265), E265)</f>
        <v>81</v>
      </c>
      <c r="F329" s="5">
        <f>+IF(F$292&lt;&gt;"OK",      IF(F263&lt;0,F309+F323,F265), F265)</f>
        <v>81</v>
      </c>
      <c r="G329" s="18" t="s">
        <v>77</v>
      </c>
      <c r="H329" s="28"/>
      <c r="I329" s="100"/>
      <c r="J329" s="203"/>
      <c r="M329" s="55"/>
      <c r="O329" t="s">
        <v>198</v>
      </c>
      <c r="P329" s="49"/>
      <c r="Q329" s="45"/>
      <c r="R329" s="54"/>
    </row>
    <row r="330" spans="1:39">
      <c r="A330" s="183"/>
      <c r="B330" s="164" t="s">
        <v>344</v>
      </c>
      <c r="C330" s="356">
        <f>+IF(C$292&lt;&gt;"OK",      IF(C268&lt;0,C311+C324,C270), C270)</f>
        <v>163.50818165874952</v>
      </c>
      <c r="D330" s="5">
        <f>+IF(D$292&lt;&gt;"OK",      IF(D268&lt;0,D311+D324,D270), D270)</f>
        <v>163.61698341250533</v>
      </c>
      <c r="E330" s="5">
        <f>+IF(E$292&lt;&gt;"OK",      IF(E268&lt;0,E311+E324,E270), E270)</f>
        <v>163.61698341250533</v>
      </c>
      <c r="F330" s="5">
        <f>+IF(F$292&lt;&gt;"OK",      IF(F268&lt;0,F311+F324,F270), F270)</f>
        <v>163.61698341250533</v>
      </c>
      <c r="G330" s="18" t="s">
        <v>77</v>
      </c>
      <c r="H330" s="28"/>
      <c r="I330" s="100"/>
      <c r="J330" s="203"/>
      <c r="O330" t="s">
        <v>199</v>
      </c>
      <c r="P330" s="49"/>
      <c r="Q330" s="49"/>
      <c r="R330" s="49"/>
    </row>
    <row r="331" spans="1:39" ht="15.75" thickBot="1">
      <c r="A331" s="219"/>
      <c r="B331" s="164" t="s">
        <v>345</v>
      </c>
      <c r="C331" s="356">
        <f>+IF(C$292&lt;&gt;"OK",      IF(C273&lt;0,C313+C325,C275), C275)</f>
        <v>189</v>
      </c>
      <c r="D331" s="5">
        <f>+IF(D$292&lt;&gt;"OK",      IF(D273&lt;0,D313+D325,D275), D275)</f>
        <v>189</v>
      </c>
      <c r="E331" s="5">
        <f>+IF(E$292&lt;&gt;"OK",      IF(E273&lt;0,E313+E325,E275), E275)</f>
        <v>189</v>
      </c>
      <c r="F331" s="5">
        <f>+IF(F$292&lt;&gt;"OK",      IF(F273&lt;0,F313+F325,F275), F275)</f>
        <v>189</v>
      </c>
      <c r="G331" s="18" t="s">
        <v>77</v>
      </c>
      <c r="H331" s="28"/>
      <c r="I331" s="100"/>
      <c r="J331" s="203"/>
    </row>
    <row r="332" spans="1:39">
      <c r="H332" s="28"/>
      <c r="I332" s="100"/>
      <c r="J332" s="203"/>
      <c r="M332" s="154" t="s">
        <v>158</v>
      </c>
      <c r="N332" s="56" t="s">
        <v>200</v>
      </c>
      <c r="O332" s="56" t="s">
        <v>201</v>
      </c>
      <c r="P332" s="56" t="s">
        <v>202</v>
      </c>
      <c r="Q332" s="56" t="s">
        <v>203</v>
      </c>
      <c r="R332" s="57" t="s">
        <v>204</v>
      </c>
      <c r="S332" s="57" t="s">
        <v>205</v>
      </c>
      <c r="T332" s="57" t="s">
        <v>113</v>
      </c>
      <c r="U332" s="57" t="s">
        <v>206</v>
      </c>
      <c r="V332" s="57" t="s">
        <v>207</v>
      </c>
      <c r="W332" s="58" t="s">
        <v>208</v>
      </c>
      <c r="X332" s="58" t="s">
        <v>209</v>
      </c>
      <c r="Y332" s="57" t="s">
        <v>210</v>
      </c>
      <c r="Z332" s="57" t="s">
        <v>211</v>
      </c>
      <c r="AA332" s="57" t="s">
        <v>212</v>
      </c>
      <c r="AB332" s="57" t="s">
        <v>213</v>
      </c>
      <c r="AC332" s="59" t="s">
        <v>211</v>
      </c>
      <c r="AD332" s="60"/>
      <c r="AE332" s="60"/>
      <c r="AF332" s="61"/>
      <c r="AG332" s="59" t="s">
        <v>214</v>
      </c>
      <c r="AH332" s="60"/>
      <c r="AI332" s="60"/>
      <c r="AJ332" s="61"/>
      <c r="AK332" s="58" t="s">
        <v>215</v>
      </c>
      <c r="AL332" s="57" t="s">
        <v>216</v>
      </c>
      <c r="AM332" s="62" t="s">
        <v>217</v>
      </c>
    </row>
    <row r="333" spans="1:39">
      <c r="A333" s="252"/>
      <c r="B333" s="233" t="s">
        <v>218</v>
      </c>
      <c r="C333" t="s">
        <v>446</v>
      </c>
      <c r="H333" s="28"/>
      <c r="I333" s="100"/>
      <c r="J333" s="203"/>
      <c r="M333" s="28"/>
      <c r="N333" s="63"/>
      <c r="O333" s="63"/>
      <c r="P333" s="63"/>
      <c r="Q333" s="63"/>
      <c r="R333" s="63"/>
      <c r="S333" s="64" t="s">
        <v>219</v>
      </c>
      <c r="T333" s="64" t="s">
        <v>220</v>
      </c>
      <c r="U333" s="63"/>
      <c r="V333" s="63"/>
      <c r="W333" s="63"/>
      <c r="X333" s="63"/>
      <c r="Y333" s="64" t="s">
        <v>221</v>
      </c>
      <c r="Z333" s="63"/>
      <c r="AA333" s="63"/>
      <c r="AB333" s="63"/>
      <c r="AC333" s="65" t="s">
        <v>222</v>
      </c>
      <c r="AD333" s="35"/>
      <c r="AE333" s="35"/>
      <c r="AF333" s="66"/>
      <c r="AG333" s="65" t="s">
        <v>222</v>
      </c>
      <c r="AH333" s="35"/>
      <c r="AI333" s="35"/>
      <c r="AJ333" s="66"/>
      <c r="AK333" s="63"/>
      <c r="AL333" s="63"/>
      <c r="AM333" s="67" t="s">
        <v>223</v>
      </c>
    </row>
    <row r="334" spans="1:39" ht="15.75" thickBot="1">
      <c r="A334" s="183"/>
      <c r="B334" s="164" t="s">
        <v>342</v>
      </c>
      <c r="C334" s="356">
        <f>+C$259</f>
        <v>34.5</v>
      </c>
      <c r="D334" s="5">
        <f>+D$259</f>
        <v>38.913365313218542</v>
      </c>
      <c r="E334" s="5">
        <f>+E$259</f>
        <v>38.913365313218542</v>
      </c>
      <c r="F334" s="5">
        <f>+F$259</f>
        <v>38.913365313218542</v>
      </c>
      <c r="G334" s="18" t="str">
        <f>+G$259</f>
        <v>kN</v>
      </c>
      <c r="H334" s="28"/>
      <c r="I334" s="100"/>
      <c r="J334" s="203"/>
      <c r="M334" s="155" t="s">
        <v>224</v>
      </c>
      <c r="N334" s="68" t="s">
        <v>183</v>
      </c>
      <c r="O334" s="68" t="s">
        <v>183</v>
      </c>
      <c r="P334" s="68" t="s">
        <v>183</v>
      </c>
      <c r="Q334" s="68" t="s">
        <v>183</v>
      </c>
      <c r="R334" s="68" t="s">
        <v>224</v>
      </c>
      <c r="S334" s="68"/>
      <c r="T334" s="68"/>
      <c r="U334" s="68" t="s">
        <v>225</v>
      </c>
      <c r="V334" s="68" t="s">
        <v>224</v>
      </c>
      <c r="W334" s="68"/>
      <c r="X334" s="68"/>
      <c r="Y334" s="68" t="s">
        <v>225</v>
      </c>
      <c r="Z334" s="68" t="s">
        <v>225</v>
      </c>
      <c r="AA334" s="68" t="s">
        <v>225</v>
      </c>
      <c r="AB334" s="68" t="s">
        <v>225</v>
      </c>
      <c r="AC334" s="69">
        <v>4</v>
      </c>
      <c r="AD334" s="70">
        <v>5</v>
      </c>
      <c r="AE334" s="70">
        <v>6</v>
      </c>
      <c r="AF334" s="71">
        <v>8</v>
      </c>
      <c r="AG334" s="69">
        <v>4</v>
      </c>
      <c r="AH334" s="70">
        <v>5</v>
      </c>
      <c r="AI334" s="70">
        <v>6</v>
      </c>
      <c r="AJ334" s="71">
        <v>8</v>
      </c>
      <c r="AK334" s="68"/>
      <c r="AL334" s="68"/>
      <c r="AM334" s="72"/>
    </row>
    <row r="335" spans="1:39">
      <c r="A335" s="183"/>
      <c r="B335" s="164" t="s">
        <v>343</v>
      </c>
      <c r="C335" s="356">
        <f>+C$264</f>
        <v>22.5</v>
      </c>
      <c r="D335" s="5">
        <f>+D$264</f>
        <v>27.041634565979919</v>
      </c>
      <c r="E335" s="5">
        <f>+E$264</f>
        <v>27.041634565979919</v>
      </c>
      <c r="F335" s="5">
        <f>+F$264</f>
        <v>27.041634565979919</v>
      </c>
      <c r="G335" s="18" t="str">
        <f>+G$259</f>
        <v>kN</v>
      </c>
      <c r="H335" s="28"/>
      <c r="I335" s="100"/>
      <c r="J335" s="20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</row>
    <row r="336" spans="1:39">
      <c r="A336" s="183"/>
      <c r="B336" s="164" t="s">
        <v>344</v>
      </c>
      <c r="C336" s="356">
        <f>+C$269</f>
        <v>45</v>
      </c>
      <c r="D336" s="5">
        <f>+D$269</f>
        <v>54.083269131959838</v>
      </c>
      <c r="E336" s="5">
        <f>+E$269</f>
        <v>54.083269131959838</v>
      </c>
      <c r="F336" s="5">
        <f>+F$269</f>
        <v>54.083269131959838</v>
      </c>
      <c r="G336" s="18" t="str">
        <f>+G$259</f>
        <v>kN</v>
      </c>
      <c r="H336" s="28"/>
      <c r="I336" s="100"/>
      <c r="J336" s="203"/>
      <c r="K336" s="158"/>
      <c r="M336" s="156">
        <v>851.04</v>
      </c>
      <c r="N336" s="130">
        <v>3400</v>
      </c>
      <c r="O336" s="130">
        <v>600</v>
      </c>
      <c r="P336" s="130">
        <v>75</v>
      </c>
      <c r="Q336" s="130">
        <f>O336-P336</f>
        <v>525</v>
      </c>
      <c r="R336" s="8">
        <f>0.9*$R$326*$N$324*(1-$P$325/$P$324*$R$326*$N$324/$N$323)*N336*Q336^2*0.000001</f>
        <v>3528.4952636718754</v>
      </c>
      <c r="S336" s="130" t="str">
        <f>IF(R336&lt;ABS(M336),"DOBLE/ REF","SIMPLE/ REF")</f>
        <v>SIMPLE/ REF</v>
      </c>
      <c r="T336" s="74">
        <f>IF(ABS(M336)&gt;R336,"-",ABS(M336)*1000000/N336/Q336^2)</f>
        <v>0.90813925570228093</v>
      </c>
      <c r="U336" s="8">
        <f>$F$7*N336*Q336</f>
        <v>0</v>
      </c>
      <c r="V336" s="8" t="str">
        <f>IF(R336&lt;ABS(M336),ABS(M336)-R336,"-")</f>
        <v>-</v>
      </c>
      <c r="W336" s="76">
        <f>1/$P$323*(1-SQRT(1-2*$P$323*T336/0.9/$N$324))</f>
        <v>2.4745232169914189E-3</v>
      </c>
      <c r="X336" s="11">
        <f>IF(R336&lt;ABS(M336),Y336/N336/Q336,0)</f>
        <v>0</v>
      </c>
      <c r="Y336" s="8" t="str">
        <f>IF(R336&lt;ABS(M336),(ABS(M336)-R336)*1000000/0.9/$N$324/(Q336-P336),"-")</f>
        <v>-</v>
      </c>
      <c r="Z336" s="8">
        <f>IF(R336&lt;ABS(M336),Y336+U336,W336*N336*Q336)</f>
        <v>4417.0239423296825</v>
      </c>
      <c r="AA336" s="8">
        <f>$R$323*N336*Q336</f>
        <v>5949.9999999999991</v>
      </c>
      <c r="AB336" s="8">
        <f>+MAX(Z336:AA336)</f>
        <v>5949.9999999999991</v>
      </c>
      <c r="AC336" s="77">
        <f>ROUNDUP(1/(PI()*25.4^2*$AC$334^2/64/4/AB336),0)</f>
        <v>47</v>
      </c>
      <c r="AD336" s="9">
        <f>ROUNDUP(1/(PI()*25.4^2*$AD$334^2/64/4/AB336),0)</f>
        <v>31</v>
      </c>
      <c r="AE336" s="9">
        <f>ROUNDUP(1/(PI()*25.4^2*$AE$334^2/64/4/AB336),0)</f>
        <v>21</v>
      </c>
      <c r="AF336" s="9">
        <f>ROUNDUP(1/(PI()*25.4^2*$AF$334^2/64/4/AB336),0)</f>
        <v>12</v>
      </c>
      <c r="AG336" s="8">
        <f>IF(R336&lt;ABS(M336),ROUNDUP(1/(PI()*25.4^2*$AG$334^2/64/4/Y336),0),0)</f>
        <v>0</v>
      </c>
      <c r="AH336" s="8">
        <f>IF(R336&lt;ABS(M336),ROUNDUP(1/(PI()*25.4^2*$AH$334^2/64/4/Y336),0),0)</f>
        <v>0</v>
      </c>
      <c r="AI336" s="8">
        <f>IF(R336&lt;ABS(M336),ROUNDUP(1/(PI()*25.4^2*$AI$334^2/64/4/Y336),0),0)</f>
        <v>0</v>
      </c>
      <c r="AJ336" s="8">
        <f>IF(R336&lt;ABS(M336),ROUNDUP(1/(PI()*25.4^2*$AJ$334^2/64/4/Y336),0),0)</f>
        <v>0</v>
      </c>
      <c r="AK336" s="11">
        <f>W336-X336</f>
        <v>2.4745232169914189E-3</v>
      </c>
      <c r="AL336" s="75">
        <f>P336/Q336*$P$324*$N$323/$N$324*(600/(600-$N$324))</f>
        <v>1.7202380952380955E-2</v>
      </c>
      <c r="AM336" s="130" t="str">
        <f>IF(R336&lt;M336,IF(AND(AK336&lt;=$R$325,AK336&gt;=AL336),"¡Cumple!","¡No cumple!"),"-")</f>
        <v>-</v>
      </c>
    </row>
    <row r="337" spans="1:39">
      <c r="A337" s="219"/>
      <c r="B337" s="164" t="s">
        <v>345</v>
      </c>
      <c r="C337" s="356">
        <f>+C$274</f>
        <v>52.5</v>
      </c>
      <c r="D337" s="5">
        <f>+D$274</f>
        <v>54.600824169603889</v>
      </c>
      <c r="E337" s="5">
        <f>+E$274</f>
        <v>54.600824169603889</v>
      </c>
      <c r="F337" s="5">
        <f>+F$274</f>
        <v>54.600824169603889</v>
      </c>
      <c r="G337" s="18" t="str">
        <f>+G$259</f>
        <v>kN</v>
      </c>
      <c r="H337" s="28"/>
      <c r="I337" s="100"/>
      <c r="J337" s="203"/>
      <c r="K337" s="158"/>
      <c r="M337" s="157">
        <v>522</v>
      </c>
      <c r="N337" s="130">
        <v>3100</v>
      </c>
      <c r="O337" s="130">
        <v>450</v>
      </c>
      <c r="P337" s="130">
        <v>75</v>
      </c>
      <c r="Q337" s="130">
        <f>O337-P337</f>
        <v>375</v>
      </c>
      <c r="R337" s="8">
        <f>0.9*$R$326*$N$324*(1-$P$325/$P$324*$R$326*$N$324/$N$323)*N337*Q337^2*0.000001</f>
        <v>1641.4068603515627</v>
      </c>
      <c r="S337" s="130" t="str">
        <f>IF(R337&lt;ABS(M337),"DOBLE/ REF","SIMPLE/ REF")</f>
        <v>SIMPLE/ REF</v>
      </c>
      <c r="T337" s="74">
        <f>IF(ABS(M337)&gt;R337,"-",ABS(M337)*1000000/N337/Q337^2)</f>
        <v>1.1974193548387098</v>
      </c>
      <c r="U337" s="8">
        <f>$F$7*N337*Q337</f>
        <v>0</v>
      </c>
      <c r="V337" s="8" t="str">
        <f>IF(R337&lt;ABS(M337),ABS(M337)-R337,"-")</f>
        <v>-</v>
      </c>
      <c r="W337" s="10">
        <f>IF(ABS(M337)&lt;R337,1/$P$323*(1-SQRT(1-2*$P$323*T337/0.9/$N$324)),Z337/N337/Q337)</f>
        <v>3.2955482889399368E-3</v>
      </c>
      <c r="X337" s="11">
        <f>IF(R337&lt;ABS(M337),Y337/N337/Q337,0)</f>
        <v>0</v>
      </c>
      <c r="Y337" s="8" t="str">
        <f>IF(R337&lt;ABS(M337),(ABS(M337)-R337)*1000000/0.9/$N$324/(Q337-P337),"-")</f>
        <v>-</v>
      </c>
      <c r="Z337" s="8">
        <f>IF(R337&lt;ABS(M337),Y337+U337,W337*N337*Q337)</f>
        <v>3831.0748858926768</v>
      </c>
      <c r="AA337" s="8">
        <f>$R$323*N337*Q337</f>
        <v>3874.9999999999995</v>
      </c>
      <c r="AB337" s="8">
        <f>+MAX(Z337:AA337)</f>
        <v>3874.9999999999995</v>
      </c>
      <c r="AC337" s="77">
        <f>ROUNDUP(1/(PI()*25.4^2*$AC$334^2/64/4/AB337),0)</f>
        <v>31</v>
      </c>
      <c r="AD337" s="9">
        <f>ROUNDUP(1/(PI()*25.4^2*$AD$334^2/64/4/AB337),0)</f>
        <v>20</v>
      </c>
      <c r="AE337" s="9">
        <f>ROUNDUP(1/(PI()*25.4^2*$AE$334^2/64/4/AB337),0)</f>
        <v>14</v>
      </c>
      <c r="AF337" s="9">
        <f>ROUNDUP(1/(PI()*25.4^2*$AF$334^2/64/4/AB337),0)</f>
        <v>8</v>
      </c>
      <c r="AG337" s="8">
        <f>IF(R337&lt;ABS(M337),ROUNDUP(1/(PI()*25.4^2*$AG$334^2/64/4/Y337),0),0)</f>
        <v>0</v>
      </c>
      <c r="AH337" s="8">
        <f>IF(R337&lt;ABS(M337),ROUNDUP(1/(PI()*25.4^2*$AH$334^2/64/4/Y337),0),0)</f>
        <v>0</v>
      </c>
      <c r="AI337" s="8">
        <f>IF(R337&lt;ABS(M337),ROUNDUP(1/(PI()*25.4^2*$AI$334^2/64/4/Y337),0),0)</f>
        <v>0</v>
      </c>
      <c r="AJ337" s="8">
        <f>IF(R337&lt;ABS(M337),ROUNDUP(1/(PI()*25.4^2*$AJ$334^2/64/4/Y337),0),0)</f>
        <v>0</v>
      </c>
      <c r="AK337" s="11">
        <f>W337-X337</f>
        <v>3.2955482889399368E-3</v>
      </c>
      <c r="AL337" s="75">
        <f>P337/Q337*$P$324*$N$323/$N$324*(600/(600-$N$324))</f>
        <v>2.4083333333333339E-2</v>
      </c>
      <c r="AM337" s="130" t="str">
        <f>IF(R337&lt;M337,IF(AND(AK337&lt;=$R$325,AK337&gt;=AL337),"¡Cumple!","¡No cumple!"),"-")</f>
        <v>-</v>
      </c>
    </row>
    <row r="338" spans="1:39">
      <c r="H338" s="160"/>
      <c r="I338" s="100"/>
      <c r="J338" s="203"/>
      <c r="K338" s="158"/>
      <c r="M338" s="157">
        <v>239</v>
      </c>
      <c r="N338" s="130">
        <v>2100</v>
      </c>
      <c r="O338" s="130">
        <v>400</v>
      </c>
      <c r="P338" s="130">
        <v>75</v>
      </c>
      <c r="Q338" s="130">
        <f>O338-P338</f>
        <v>325</v>
      </c>
      <c r="R338" s="8">
        <f>0.9*$R$326*$N$324*(1-$P$325/$P$324*$R$326*$N$324/$N$323)*N338*Q338^2*0.000001</f>
        <v>835.17604980468775</v>
      </c>
      <c r="S338" s="130" t="str">
        <f>IF(R338&lt;ABS(M338),"DOBLE/ REF","SIMPLE/ REF")</f>
        <v>SIMPLE/ REF</v>
      </c>
      <c r="T338" s="74">
        <f>IF(ABS(M338)&gt;R338,"-",ABS(M338)*1000000/N338/Q338^2)</f>
        <v>1.0774866159481544</v>
      </c>
      <c r="U338" s="8">
        <f>$F$7*N338*Q338</f>
        <v>0</v>
      </c>
      <c r="V338" s="8" t="str">
        <f>IF(R338&lt;ABS(M338),ABS(M338)-R338,"-")</f>
        <v>-</v>
      </c>
      <c r="W338" s="11">
        <f>IF(ABS(M338)&lt;R338,1/$P$323*(1-SQRT(1-2*$P$323*T338/0.9/$N$324)),Z338/N338/Q338)</f>
        <v>2.9530906884455196E-3</v>
      </c>
      <c r="X338" s="11">
        <f>IF(R338&lt;ABS(M338),Y338/N338/Q338,0)</f>
        <v>0</v>
      </c>
      <c r="Y338" s="8" t="str">
        <f>IF(R338&lt;ABS(M338),(ABS(M338)-R338)*1000000/0.9/$N$324/(Q338-P338),"-")</f>
        <v>-</v>
      </c>
      <c r="Z338" s="8">
        <f>IF(R338&lt;ABS(M338),Y338+U338,W338*N338*Q338)</f>
        <v>2015.4843948640671</v>
      </c>
      <c r="AA338" s="8">
        <f>$R$323*N338*Q338</f>
        <v>2274.9999999999995</v>
      </c>
      <c r="AB338" s="8">
        <f>+MAX(Z338:AA338)</f>
        <v>2274.9999999999995</v>
      </c>
      <c r="AC338" s="77">
        <f>ROUNDUP(1/(PI()*25.4^2*$AC$334^2/64/4/AB338),0)</f>
        <v>18</v>
      </c>
      <c r="AD338" s="9">
        <f>ROUNDUP(1/(PI()*25.4^2*$AD$334^2/64/4/AB338),0)</f>
        <v>12</v>
      </c>
      <c r="AE338" s="9">
        <f>ROUNDUP(1/(PI()*25.4^2*$AE$334^2/64/4/AB338),0)</f>
        <v>8</v>
      </c>
      <c r="AF338" s="9">
        <f>ROUNDUP(1/(PI()*25.4^2*$AF$334^2/64/4/AB338),0)</f>
        <v>5</v>
      </c>
      <c r="AG338" s="8">
        <f>IF(R338&lt;ABS(M338),ROUNDUP(1/(PI()*25.4^2*$AG$334^2/64/4/Y338),0),0)</f>
        <v>0</v>
      </c>
      <c r="AH338" s="8">
        <f>IF(R338&lt;ABS(M338),ROUNDUP(1/(PI()*25.4^2*$AH$334^2/64/4/Y338),0),0)</f>
        <v>0</v>
      </c>
      <c r="AI338" s="8">
        <f>IF(R338&lt;ABS(M338),ROUNDUP(1/(PI()*25.4^2*$AI$334^2/64/4/Y338),0),0)</f>
        <v>0</v>
      </c>
      <c r="AJ338" s="8">
        <f>IF(R338&lt;ABS(M338),ROUNDUP(1/(PI()*25.4^2*$AJ$334^2/64/4/Y338),0),0)</f>
        <v>0</v>
      </c>
      <c r="AK338" s="11">
        <f>W338-X338</f>
        <v>2.9530906884455196E-3</v>
      </c>
      <c r="AL338" s="75">
        <f>P338/Q338*$P$324*$N$323/$N$324*(600/(600-$N$324))</f>
        <v>2.778846153846154E-2</v>
      </c>
      <c r="AM338" s="130" t="str">
        <f>IF(R338&lt;M338,IF(AND(AK338&lt;=$R$325,AK338&gt;=AL338),"¡Cumple!","¡No cumple!"),"-")</f>
        <v>-</v>
      </c>
    </row>
    <row r="339" spans="1:39">
      <c r="A339" s="252"/>
      <c r="B339" s="233" t="s">
        <v>226</v>
      </c>
      <c r="H339" s="28"/>
      <c r="I339" s="100"/>
      <c r="J339" s="203"/>
      <c r="K339" s="158"/>
      <c r="M339" s="18"/>
      <c r="N339" s="1"/>
      <c r="O339" s="1"/>
      <c r="P339" s="1"/>
      <c r="Q339" s="1"/>
      <c r="R339" s="1"/>
      <c r="S339" s="1"/>
      <c r="T339" s="1"/>
      <c r="U339" s="1"/>
      <c r="V339" s="1"/>
      <c r="W339" s="1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>
      <c r="A340" s="183"/>
      <c r="B340" s="164" t="s">
        <v>342</v>
      </c>
      <c r="C340" s="356">
        <f>+C$258</f>
        <v>-1221.5999999999999</v>
      </c>
      <c r="D340" s="5">
        <f>+D$258</f>
        <v>-1221.5999999999999</v>
      </c>
      <c r="E340" s="5">
        <f>+E$258</f>
        <v>-1221.5999999999999</v>
      </c>
      <c r="F340" s="5">
        <f>+F$258</f>
        <v>-1221.5999999999999</v>
      </c>
      <c r="G340" s="18" t="str">
        <f>+G$259</f>
        <v>kN</v>
      </c>
      <c r="H340" s="28"/>
    </row>
    <row r="341" spans="1:39">
      <c r="B341" s="164" t="s">
        <v>343</v>
      </c>
      <c r="C341" s="356">
        <f>+C$263</f>
        <v>953.4</v>
      </c>
      <c r="D341" s="5">
        <f>+D$263</f>
        <v>953.4</v>
      </c>
      <c r="E341" s="5">
        <f>+E$263</f>
        <v>953.4</v>
      </c>
      <c r="F341" s="5">
        <f>+F$263</f>
        <v>953.4</v>
      </c>
      <c r="G341" s="18" t="str">
        <f>+G$259</f>
        <v>kN</v>
      </c>
      <c r="H341" s="28"/>
      <c r="I341" s="100"/>
      <c r="J341" s="203"/>
      <c r="K341" s="158"/>
    </row>
    <row r="342" spans="1:39">
      <c r="B342" s="164" t="s">
        <v>344</v>
      </c>
      <c r="C342" s="356">
        <f>+C$268</f>
        <v>-21.6</v>
      </c>
      <c r="D342" s="5">
        <f>+D$268</f>
        <v>-21.6</v>
      </c>
      <c r="E342" s="5">
        <f>+E$268</f>
        <v>-21.6</v>
      </c>
      <c r="F342" s="5">
        <f>+F$268</f>
        <v>-21.6</v>
      </c>
      <c r="G342" s="18" t="str">
        <f>+G$259</f>
        <v>kN</v>
      </c>
      <c r="H342" s="28"/>
      <c r="I342" s="100"/>
      <c r="J342" s="203"/>
    </row>
    <row r="343" spans="1:39">
      <c r="B343" s="164" t="s">
        <v>345</v>
      </c>
      <c r="C343" s="356">
        <f>+C$273</f>
        <v>278.39999999999998</v>
      </c>
      <c r="D343" s="5">
        <f>+D$273</f>
        <v>278.39999999999998</v>
      </c>
      <c r="E343" s="5">
        <f>+E$273</f>
        <v>278.39999999999998</v>
      </c>
      <c r="F343" s="5">
        <f>+F$273</f>
        <v>278.39999999999998</v>
      </c>
      <c r="G343" s="18" t="str">
        <f>+G$259</f>
        <v>kN</v>
      </c>
      <c r="H343" s="28"/>
    </row>
    <row r="344" spans="1:39" ht="17.25">
      <c r="B344" s="1" t="s">
        <v>349</v>
      </c>
      <c r="C344" s="220">
        <f>IFERROR(IF(C340&lt;0,(ABS(C340)*100/(0.9*C$284*10))+(0.85*$C$16/$C$15*(1-
SQRT((1-2*$C$15/0.85/$C$16*((C328/0.9/C$39/(C$39*0.8-C$45)^2)/1000)/$C$15))
))*C$39*(0.8*C$39-C$45)*2*100*100,"No aplica"),
"Aumentar D")</f>
        <v>68.554975113777701</v>
      </c>
      <c r="D344" s="220">
        <f>IFERROR(IF(D340&lt;0,(ABS(D340)*100/(0.9*D$284*10))+(0.85*$C$16/$C$15*(1-
SQRT((1-2*$C$15/0.85/$C$16*((D328/0.9/D$39/(D$39*0.8-D$45)^2)/1000)/$C$15))
))*D$39*(0.8*D$39-D$45)*2*100*100,"No aplica"),
"Aumentar D")</f>
        <v>69.154107961468341</v>
      </c>
      <c r="E344" s="220">
        <f>IFERROR(IF(E340&lt;0,(ABS(E340)*100/(0.9*E$284*10))+(0.85*$C$16/$C$15*(1-
SQRT((1-2*$C$15/0.85/$C$16*((E328/0.9/E$39/(E$39*0.8-E$45)^2)/1000)/$C$15))
))*E$39*(0.8*E$39-E$45)*2*100*100,"No aplica"),
"Aumentar D")</f>
        <v>69.154107961468341</v>
      </c>
      <c r="F344" s="220">
        <f>IFERROR(IF(F340&lt;0,(ABS(F340)*100/(0.9*F$284*10))+(0.85*$C$16/$C$15*(1-
SQRT((1-2*$C$15/0.85/$C$16*((F328/0.9/F$39/(F$39*0.8-F$45)^2)/1000)/$C$15))
))*F$39*(0.8*F$39-F$45)*2*100*100,"No aplica"),
"Aumentar D")</f>
        <v>69.154107961468341</v>
      </c>
      <c r="G344" s="123" t="s">
        <v>143</v>
      </c>
      <c r="H344" s="28"/>
      <c r="I344" s="220">
        <f>+IFERROR(SQRT((1-2*$C$15/0.85/$C$16*((MAX(C328:F328)/0.9/F$39/(F$39*0.8-F$45)^2)/1000)/$C$15)),
"Aumentar D")</f>
        <v>0.75235867130078637</v>
      </c>
    </row>
    <row r="345" spans="1:39" ht="17.25">
      <c r="B345" s="1" t="s">
        <v>227</v>
      </c>
      <c r="C345" s="220" t="str">
        <f t="shared" ref="C345:F347" si="131">IFERROR(IF(C341&lt;0,(ABS(C341)*100/(0.9*C$284*10))+(0.85*$C$16/$C$15*(1-SQRT((1-2*$C$15/0.85/$C$16*((C329/0.9/C$39/(C$39*0.8-C$45)^2)/1000)/$C$15))))*C$39*(0.8*C$39-C$45)*2*100*100,"No aplica"),
"Aumentar D")</f>
        <v>No aplica</v>
      </c>
      <c r="D345" s="220" t="str">
        <f t="shared" si="131"/>
        <v>No aplica</v>
      </c>
      <c r="E345" s="220" t="str">
        <f t="shared" si="131"/>
        <v>No aplica</v>
      </c>
      <c r="F345" s="220" t="str">
        <f t="shared" si="131"/>
        <v>No aplica</v>
      </c>
      <c r="G345" s="123" t="s">
        <v>143</v>
      </c>
      <c r="H345" s="28"/>
      <c r="I345" s="311">
        <f>0.0833333 *(10 *F$45 + (37.5924*$C$16*F$45^2)/(12* $C$16^2 *MAX(C328:F328) - 425 *$C$16^3 *F$45^3 +
     4.89898 *SQRT(6 *$C$16^4 *MAX(C328:F328)^2 - 425*$C$16^5 *MAX(C328:F328) *F$45^3))^(1/3) + (
   0.665029 *(12 *$C$16^2 *MAX(C328:F328) - 425 *$C$16^3 *F$45^3 +
      4.89898 *SQRT(6 *$C$16^4 *MAX(C328:F328)^2 - 425 *$C$16^5 *MAX(C328:F328) *F$45^3))^(1/3))/$C$16)</f>
        <v>0.38917384068902905</v>
      </c>
      <c r="J345" s="203"/>
    </row>
    <row r="346" spans="1:39" ht="17.25">
      <c r="B346" s="1" t="s">
        <v>228</v>
      </c>
      <c r="C346" s="220">
        <f t="shared" si="131"/>
        <v>27.777115917040398</v>
      </c>
      <c r="D346" s="220">
        <f t="shared" si="131"/>
        <v>27.797246870575592</v>
      </c>
      <c r="E346" s="220">
        <f t="shared" si="131"/>
        <v>27.797246870575592</v>
      </c>
      <c r="F346" s="220">
        <f t="shared" si="131"/>
        <v>27.797246870575592</v>
      </c>
      <c r="G346" s="123" t="s">
        <v>143</v>
      </c>
      <c r="H346" s="28"/>
      <c r="I346" s="100"/>
      <c r="J346" s="203"/>
    </row>
    <row r="347" spans="1:39" ht="17.25">
      <c r="B347" s="1" t="s">
        <v>229</v>
      </c>
      <c r="C347" s="220" t="str">
        <f>IFERROR(IF(C343&lt;0,(ABS(C343)*100/(0.9*C$284*10))+(0.85*$C$16/$C$15*(1-SQRT((1-2*$C$15/0.85/$C$16*((C331/0.9/C$39/(C$39*0.8-C$45)^2)/1000)/$C$15))))*C$39*(0.8*C$39-C$45)*2*100*100,"No aplica"),
"Aumentar D")</f>
        <v>No aplica</v>
      </c>
      <c r="D347" s="220" t="str">
        <f t="shared" si="131"/>
        <v>No aplica</v>
      </c>
      <c r="E347" s="220" t="str">
        <f t="shared" si="131"/>
        <v>No aplica</v>
      </c>
      <c r="F347" s="220" t="str">
        <f t="shared" si="131"/>
        <v>No aplica</v>
      </c>
      <c r="G347" s="123" t="s">
        <v>143</v>
      </c>
      <c r="H347" s="28"/>
      <c r="I347" s="100"/>
      <c r="J347" s="203"/>
    </row>
    <row r="348" spans="1:39" ht="17.25">
      <c r="B348" s="1" t="s">
        <v>230</v>
      </c>
      <c r="C348" s="222">
        <f>+C351*(C281*100)^2</f>
        <v>12.5</v>
      </c>
      <c r="D348" s="222">
        <f t="shared" ref="D348:F348" si="132">+D351*(D281*100)^2</f>
        <v>12.5</v>
      </c>
      <c r="E348" s="222">
        <f t="shared" si="132"/>
        <v>12.5</v>
      </c>
      <c r="F348" s="222">
        <f t="shared" si="132"/>
        <v>12.5</v>
      </c>
      <c r="G348" s="123" t="s">
        <v>143</v>
      </c>
      <c r="H348" s="28"/>
      <c r="I348" s="100"/>
      <c r="J348" s="203"/>
    </row>
    <row r="349" spans="1:39" ht="17.25">
      <c r="B349" s="179" t="s">
        <v>231</v>
      </c>
      <c r="C349" s="220">
        <f>+MAX(C344:C348)</f>
        <v>68.554975113777701</v>
      </c>
      <c r="D349" s="220">
        <f t="shared" ref="D349:F349" si="133">+MAX(D344:D348)</f>
        <v>69.154107961468341</v>
      </c>
      <c r="E349" s="220">
        <f t="shared" si="133"/>
        <v>69.154107961468341</v>
      </c>
      <c r="F349" s="220">
        <f t="shared" si="133"/>
        <v>69.154107961468341</v>
      </c>
      <c r="G349" s="123" t="s">
        <v>143</v>
      </c>
      <c r="H349" s="28"/>
      <c r="I349" s="100"/>
      <c r="J349" s="203"/>
    </row>
    <row r="350" spans="1:39" ht="17.25">
      <c r="B350" s="1" t="s">
        <v>232</v>
      </c>
      <c r="C350" s="3">
        <f>+C$281^2*10000</f>
        <v>2500</v>
      </c>
      <c r="D350" s="5">
        <f>+D$281^2*10000</f>
        <v>2500</v>
      </c>
      <c r="E350" s="5">
        <f>+E$281^2*10000</f>
        <v>2500</v>
      </c>
      <c r="F350" s="5">
        <f>+F$281^2*10000</f>
        <v>2500</v>
      </c>
      <c r="G350" s="123" t="s">
        <v>143</v>
      </c>
      <c r="H350" s="28"/>
      <c r="I350" s="100"/>
      <c r="J350" s="203"/>
      <c r="N350" s="36"/>
      <c r="O350" s="36"/>
      <c r="P350" s="36"/>
      <c r="Q350" s="36"/>
      <c r="R350" s="36"/>
    </row>
    <row r="351" spans="1:39">
      <c r="B351" s="1" t="s">
        <v>141</v>
      </c>
      <c r="C351" s="172">
        <v>5.0000000000000001E-3</v>
      </c>
      <c r="D351" s="15">
        <v>5.0000000000000001E-3</v>
      </c>
      <c r="E351" s="15">
        <v>5.0000000000000001E-3</v>
      </c>
      <c r="F351" s="15">
        <v>5.0000000000000001E-3</v>
      </c>
      <c r="G351" s="197"/>
      <c r="H351" s="28"/>
      <c r="I351" s="100"/>
      <c r="J351" s="203"/>
      <c r="M351" s="35"/>
      <c r="N351" s="36"/>
      <c r="O351" s="36"/>
      <c r="P351" s="36"/>
      <c r="Q351" s="36"/>
      <c r="R351" s="36"/>
    </row>
    <row r="352" spans="1:39" ht="18" thickBot="1">
      <c r="B352" s="176" t="s">
        <v>233</v>
      </c>
      <c r="C352" s="295">
        <f>IF($G$354*VLOOKUP(C353,$K$256:$L$261,2,FALSE)&lt;C349,"verificar",($G$354*VLOOKUP(C353,$K$256:$L$261,2,FALSE)))</f>
        <v>102</v>
      </c>
      <c r="D352" s="295">
        <f>IF($G$354*VLOOKUP(D353,$K$256:$L$261,2,FALSE)&lt;D349,"verificar",($G$354*VLOOKUP(D353,$K$256:$L$261,2,FALSE)))</f>
        <v>102</v>
      </c>
      <c r="E352" s="295">
        <f>IF($G$354*VLOOKUP(E353,$K$256:$L$261,2,FALSE)&lt;E349,"verificar",($G$354*VLOOKUP(E353,$K$256:$L$261,2,FALSE)))</f>
        <v>102</v>
      </c>
      <c r="F352" s="295">
        <f>IF($G$354*VLOOKUP(F353,$K$256:$L$261,2,FALSE)&lt;F349,"verificar",($G$354*VLOOKUP(F353,$K$256:$L$261,2,FALSE)))</f>
        <v>102</v>
      </c>
      <c r="G352" s="123" t="s">
        <v>143</v>
      </c>
      <c r="H352" s="28"/>
      <c r="R352">
        <f>+$C$39-0.075*2</f>
        <v>0.35</v>
      </c>
      <c r="S352" s="36" t="s">
        <v>234</v>
      </c>
      <c r="T352" s="36"/>
      <c r="U352" s="36"/>
    </row>
    <row r="353" spans="1:21">
      <c r="B353" s="1" t="s">
        <v>235</v>
      </c>
      <c r="C353" s="224" t="s">
        <v>160</v>
      </c>
      <c r="D353" s="221" t="str">
        <f>+C353</f>
        <v>No. 8</v>
      </c>
      <c r="E353" s="221" t="str">
        <f>+D353</f>
        <v>No. 8</v>
      </c>
      <c r="F353" s="221" t="str">
        <f>+E353</f>
        <v>No. 8</v>
      </c>
      <c r="G353" s="217"/>
      <c r="H353" s="28"/>
      <c r="N353" s="307" t="s">
        <v>236</v>
      </c>
      <c r="O353" s="307"/>
      <c r="P353" s="307"/>
      <c r="Q353" s="308"/>
      <c r="R353" s="2">
        <f>+R352*PI()</f>
        <v>1.0995574287564276</v>
      </c>
      <c r="S353" s="36" t="s">
        <v>237</v>
      </c>
      <c r="T353" s="36"/>
      <c r="U353" s="36"/>
    </row>
    <row r="354" spans="1:21">
      <c r="B354" s="1" t="str">
        <f>"Cantidad de barras " &amp;C353</f>
        <v>Cantidad de barras No. 8</v>
      </c>
      <c r="C354" s="240">
        <f>+ROUNDUP(C349/VLOOKUP(C353,$K$256:$L$261,2,FALSE)/4,0)*4</f>
        <v>16</v>
      </c>
      <c r="D354" s="240">
        <f t="shared" ref="D354:F354" si="134">+ROUNDUP(D349/VLOOKUP(D353,$K$256:$L$261,2,FALSE)/4,0)*4</f>
        <v>16</v>
      </c>
      <c r="E354" s="240">
        <f t="shared" si="134"/>
        <v>16</v>
      </c>
      <c r="F354" s="240">
        <f t="shared" si="134"/>
        <v>16</v>
      </c>
      <c r="G354" s="302">
        <v>20</v>
      </c>
      <c r="H354" s="28"/>
      <c r="I354" s="130" t="s">
        <v>405</v>
      </c>
      <c r="J354" s="338">
        <f>+VLOOKUP(C353,Despiece!N7:T12,6 +IF(C45&gt;= 0.07, 1,0), FALSE)</f>
        <v>0.8</v>
      </c>
      <c r="N354" s="20">
        <f>+$R$353/C354</f>
        <v>6.8722339297276724E-2</v>
      </c>
      <c r="O354" s="5">
        <f>+$R$353/D354</f>
        <v>6.8722339297276724E-2</v>
      </c>
      <c r="P354" s="5">
        <f>+$R$353/E354</f>
        <v>6.8722339297276724E-2</v>
      </c>
      <c r="Q354" s="5">
        <f>+$R$353/F354</f>
        <v>6.8722339297276724E-2</v>
      </c>
    </row>
    <row r="355" spans="1:21">
      <c r="B355" s="1" t="s">
        <v>371</v>
      </c>
      <c r="C355" s="172">
        <f>+C352/C350</f>
        <v>4.0800000000000003E-2</v>
      </c>
      <c r="D355" s="172">
        <f>+D352/D350</f>
        <v>4.0800000000000003E-2</v>
      </c>
      <c r="E355" s="172">
        <f>+E352/E350</f>
        <v>4.0800000000000003E-2</v>
      </c>
      <c r="F355" s="172">
        <f>+F352/F350</f>
        <v>4.0800000000000003E-2</v>
      </c>
      <c r="G355" s="6">
        <f>C39/(G354/4)*100</f>
        <v>10</v>
      </c>
      <c r="H355" s="28"/>
      <c r="I355" s="130"/>
      <c r="J355" s="339" t="s">
        <v>406</v>
      </c>
    </row>
    <row r="356" spans="1:21">
      <c r="C356" s="294"/>
      <c r="D356" s="296"/>
      <c r="E356" s="294"/>
      <c r="F356" s="294"/>
      <c r="H356" s="28"/>
      <c r="I356" s="340" t="s">
        <v>407</v>
      </c>
      <c r="J356" s="1" t="s">
        <v>408</v>
      </c>
    </row>
    <row r="357" spans="1:21">
      <c r="B357" s="233" t="s">
        <v>238</v>
      </c>
      <c r="D357" s="294"/>
      <c r="E357" s="294"/>
      <c r="F357" s="294"/>
      <c r="H357" s="28"/>
      <c r="I357" s="341">
        <f>+C40</f>
        <v>0.4</v>
      </c>
      <c r="J357" s="343" t="str">
        <f>IF(IF(I355="",J354,I355)&lt;I357-C45, "OK", "Aumentar Espesor")</f>
        <v>Aumentar Espesor</v>
      </c>
    </row>
    <row r="358" spans="1:21">
      <c r="B358" s="164" t="s">
        <v>239</v>
      </c>
      <c r="C358" s="223">
        <v>0.3</v>
      </c>
      <c r="D358" s="221">
        <f>+C358</f>
        <v>0.3</v>
      </c>
      <c r="E358" s="221">
        <f t="shared" ref="E358:F359" si="135">+D358</f>
        <v>0.3</v>
      </c>
      <c r="F358" s="221">
        <f t="shared" si="135"/>
        <v>0.3</v>
      </c>
      <c r="G358" s="18" t="s">
        <v>50</v>
      </c>
      <c r="H358" s="28"/>
      <c r="I358" s="342">
        <f>+J354+C45</f>
        <v>0.85000000000000009</v>
      </c>
    </row>
    <row r="359" spans="1:21">
      <c r="B359" s="1" t="s">
        <v>240</v>
      </c>
      <c r="C359" s="224" t="s">
        <v>154</v>
      </c>
      <c r="D359" s="221" t="str">
        <f>+C359</f>
        <v>No. 4</v>
      </c>
      <c r="E359" s="221" t="str">
        <f t="shared" si="135"/>
        <v>No. 4</v>
      </c>
      <c r="F359" s="221" t="str">
        <f t="shared" si="135"/>
        <v>No. 4</v>
      </c>
      <c r="G359" s="197"/>
      <c r="H359" s="28"/>
    </row>
    <row r="360" spans="1:21" ht="17.25">
      <c r="B360" s="1" t="s">
        <v>241</v>
      </c>
      <c r="C360" s="1">
        <f>VLOOKUP(C359,$K$256:$L$261,2,FALSE)</f>
        <v>1.27</v>
      </c>
      <c r="D360" s="1">
        <f>VLOOKUP(D359,$K$256:$L$261,2,FALSE)</f>
        <v>1.27</v>
      </c>
      <c r="E360" s="1">
        <f>VLOOKUP(E359,$K$256:$L$261,2,FALSE)</f>
        <v>1.27</v>
      </c>
      <c r="F360" s="1">
        <f>VLOOKUP(F359,$K$256:$L$261,2,FALSE)</f>
        <v>1.27</v>
      </c>
      <c r="G360" s="123" t="s">
        <v>143</v>
      </c>
      <c r="H360" s="28"/>
    </row>
    <row r="361" spans="1:21" ht="17.25">
      <c r="B361" s="170" t="s">
        <v>242</v>
      </c>
      <c r="C361" s="5">
        <f>MAX(  0.35,
                0.062*SQRT(C283))*(C$281*1000)*(C$358*1000)/C$284* (1/100)</f>
        <v>1.25</v>
      </c>
      <c r="D361" s="5">
        <f>MAX(0.35, 0.062*SQRT(D283))*(D$281*1000)*(D$358*1000)/D$284* (1/100)</f>
        <v>1.25</v>
      </c>
      <c r="E361" s="5">
        <f>MAX(0.35, 0.062*SQRT(E283))*(E$281*1000)*(E$358*1000)/E$284* (1/100)</f>
        <v>1.25</v>
      </c>
      <c r="F361" s="5">
        <f>MAX(0.35, 0.062*SQRT(F283))*(F$281*1000)*(F$358*1000)/F$284* (1/100)</f>
        <v>1.25</v>
      </c>
      <c r="G361" s="242" t="s">
        <v>143</v>
      </c>
      <c r="H361" s="28"/>
    </row>
    <row r="362" spans="1:21">
      <c r="B362" s="1" t="str">
        <f>"Cantidad de estribos "&amp;C359</f>
        <v>Cantidad de estribos No. 4</v>
      </c>
      <c r="C362" s="240">
        <f>+ROUNDUP((C$41-C$45)/C358,0)+1</f>
        <v>13</v>
      </c>
      <c r="D362" s="240">
        <f t="shared" ref="D362:F362" si="136">+ROUNDUP((D$41-D$45)/D358,0)+1</f>
        <v>13</v>
      </c>
      <c r="E362" s="240">
        <f t="shared" si="136"/>
        <v>13</v>
      </c>
      <c r="F362" s="240">
        <f t="shared" si="136"/>
        <v>13</v>
      </c>
      <c r="H362" s="28"/>
      <c r="O362">
        <f>3.5/100*300*60</f>
        <v>630.00000000000011</v>
      </c>
    </row>
    <row r="363" spans="1:21">
      <c r="B363" s="173" t="s">
        <v>348</v>
      </c>
      <c r="C363" s="5">
        <f>0.75*0.17*SQRT(C$283)*0.8*C$281*C$281*1000</f>
        <v>116.85568022137392</v>
      </c>
      <c r="D363" s="5">
        <f>0.75*1/6*SQRT(D$283)*0.8*D$281*D$281*1000</f>
        <v>114.564392373896</v>
      </c>
      <c r="E363" s="5">
        <f>0.75*1/6*SQRT(E$283)*0.8*E$281*E$281*1000</f>
        <v>114.564392373896</v>
      </c>
      <c r="F363" s="5">
        <f>0.75*1/6*SQRT(F$283)*0.8*F$281*F$281*1000</f>
        <v>114.564392373896</v>
      </c>
      <c r="G363" s="18" t="s">
        <v>41</v>
      </c>
      <c r="H363" s="28"/>
      <c r="O363">
        <f>+O362/19.1</f>
        <v>32.984293193717278</v>
      </c>
    </row>
    <row r="364" spans="1:21">
      <c r="B364" s="174" t="s">
        <v>243</v>
      </c>
      <c r="C364" s="7">
        <f>0.75*2*C$360*C$284*0.8*C$281/C$358*10/1000*9.8</f>
        <v>104.54640000000002</v>
      </c>
      <c r="D364" s="7">
        <f>0.75*2*D$360*D$284*0.8*D$281/D$358*10/1000*9.8</f>
        <v>104.54640000000002</v>
      </c>
      <c r="E364" s="7">
        <f>0.75*2*E$360*E$284*0.8*E$281/E$358*10/1000*9.8</f>
        <v>104.54640000000002</v>
      </c>
      <c r="F364" s="7">
        <f>0.75*2*F$360*F$284*0.8*F$281/F$358*10/1000*9.8</f>
        <v>104.54640000000002</v>
      </c>
      <c r="G364" s="18" t="s">
        <v>41</v>
      </c>
      <c r="H364" s="28"/>
    </row>
    <row r="365" spans="1:21">
      <c r="B365" s="167" t="s">
        <v>244</v>
      </c>
      <c r="C365" s="7">
        <f>+C363+C364</f>
        <v>221.40208022137392</v>
      </c>
      <c r="D365" s="7">
        <f>+D363+D364</f>
        <v>219.110792373896</v>
      </c>
      <c r="E365" s="7">
        <f>+E363+E364</f>
        <v>219.110792373896</v>
      </c>
      <c r="F365" s="7">
        <f>+F363+F364</f>
        <v>219.110792373896</v>
      </c>
      <c r="G365" s="18" t="s">
        <v>41</v>
      </c>
      <c r="H365" s="28"/>
    </row>
    <row r="366" spans="1:21" ht="16.5" thickBot="1">
      <c r="A366" s="183"/>
      <c r="B366" s="280" t="s">
        <v>245</v>
      </c>
      <c r="C366" s="281" t="str">
        <f>+IF(C$365&gt;MAX(C334:F336),"OK","NO CUMPLE")</f>
        <v>OK</v>
      </c>
      <c r="D366" s="281" t="str">
        <f>+IF(D$365&gt;MAX(D334:G336),"OK","NO CUMPLE")</f>
        <v>OK</v>
      </c>
      <c r="E366" s="281" t="str">
        <f>+IF(E$365&gt;MAX(E334:H337),"OK","NO CUMPLE")</f>
        <v>OK</v>
      </c>
      <c r="F366" s="281" t="str">
        <f>+IF(F$365&gt;MAX(F334:I337),"OK","NO CUMPLE")</f>
        <v>OK</v>
      </c>
      <c r="G366" s="165"/>
      <c r="H366" s="28"/>
      <c r="I366" s="100" t="s">
        <v>309</v>
      </c>
      <c r="J366" s="203">
        <f>+MAX(C334:F337)</f>
        <v>54.600824169603889</v>
      </c>
      <c r="K366" t="s">
        <v>308</v>
      </c>
      <c r="L366" s="30">
        <f>MIN(C$365:F$365)</f>
        <v>219.110792373896</v>
      </c>
      <c r="O366">
        <f>+(6/8*2.54)^2*PI()/4</f>
        <v>2.8502295699234246</v>
      </c>
    </row>
    <row r="367" spans="1:21" ht="15.75" thickBot="1">
      <c r="A367" s="251"/>
      <c r="B367" s="129"/>
      <c r="C367" s="129"/>
      <c r="D367" s="129"/>
      <c r="E367" s="129"/>
      <c r="F367" s="129"/>
      <c r="G367" s="129"/>
      <c r="H367" s="122"/>
    </row>
    <row r="368" spans="1:21" ht="15" customHeight="1">
      <c r="A368" s="384" t="s">
        <v>246</v>
      </c>
      <c r="B368" s="251"/>
      <c r="C368" s="352"/>
      <c r="D368" s="352"/>
      <c r="E368" s="352"/>
      <c r="F368" s="352"/>
      <c r="G368" s="353"/>
      <c r="H368" s="28"/>
    </row>
    <row r="369" spans="1:8">
      <c r="A369" s="385"/>
      <c r="B369" s="252"/>
      <c r="C369" s="180"/>
      <c r="D369" s="180"/>
      <c r="E369" s="180"/>
      <c r="F369" s="180"/>
      <c r="G369" s="253"/>
      <c r="H369" s="28"/>
    </row>
    <row r="370" spans="1:8">
      <c r="A370" s="385"/>
      <c r="B370" s="252"/>
      <c r="C370" s="180"/>
      <c r="D370" s="180"/>
      <c r="E370" s="180"/>
      <c r="F370" s="180"/>
      <c r="G370" s="253"/>
      <c r="H370" s="28"/>
    </row>
    <row r="371" spans="1:8">
      <c r="A371" s="385"/>
      <c r="B371" s="252"/>
      <c r="C371" s="180"/>
      <c r="D371" s="180"/>
      <c r="E371" s="180"/>
      <c r="F371" s="180"/>
      <c r="G371" s="253"/>
      <c r="H371" s="28"/>
    </row>
    <row r="372" spans="1:8">
      <c r="A372" s="385"/>
      <c r="B372" s="252"/>
      <c r="C372" s="180"/>
      <c r="D372" s="180"/>
      <c r="E372" s="180"/>
      <c r="F372" s="180"/>
      <c r="G372" s="253"/>
      <c r="H372" s="28"/>
    </row>
    <row r="373" spans="1:8">
      <c r="A373" s="385"/>
      <c r="B373" s="252"/>
      <c r="C373" s="180"/>
      <c r="D373" s="180"/>
      <c r="E373" s="180"/>
      <c r="F373" s="180"/>
      <c r="G373" s="253"/>
      <c r="H373" s="28"/>
    </row>
    <row r="374" spans="1:8">
      <c r="A374" s="385"/>
      <c r="B374" s="252"/>
      <c r="C374" s="180"/>
      <c r="D374" s="180"/>
      <c r="E374" s="180"/>
      <c r="F374" s="180"/>
      <c r="G374" s="253"/>
      <c r="H374" s="28"/>
    </row>
    <row r="375" spans="1:8">
      <c r="A375" s="385"/>
      <c r="B375" s="252"/>
      <c r="C375" s="180"/>
      <c r="D375" s="180"/>
      <c r="E375" s="180"/>
      <c r="F375" s="180"/>
      <c r="G375" s="253"/>
      <c r="H375" s="28"/>
    </row>
    <row r="376" spans="1:8">
      <c r="A376" s="385"/>
      <c r="B376" s="252"/>
      <c r="C376" s="180"/>
      <c r="D376" s="180"/>
      <c r="E376" s="180"/>
      <c r="F376" s="180"/>
      <c r="G376" s="253"/>
      <c r="H376" s="28"/>
    </row>
    <row r="377" spans="1:8">
      <c r="A377" s="385"/>
      <c r="B377" s="252"/>
      <c r="C377" s="180"/>
      <c r="D377" s="180"/>
      <c r="E377" s="180"/>
      <c r="F377" s="180"/>
      <c r="G377" s="253"/>
      <c r="H377" s="28"/>
    </row>
    <row r="378" spans="1:8">
      <c r="A378" s="385"/>
      <c r="B378" s="252"/>
      <c r="C378" s="180"/>
      <c r="D378" s="180"/>
      <c r="E378" s="180"/>
      <c r="F378" s="180"/>
      <c r="G378" s="253"/>
      <c r="H378" s="28"/>
    </row>
    <row r="379" spans="1:8">
      <c r="A379" s="385"/>
      <c r="B379" s="252"/>
      <c r="C379" s="180"/>
      <c r="D379" s="180"/>
      <c r="E379" s="180"/>
      <c r="F379" s="180"/>
      <c r="G379" s="253"/>
      <c r="H379" s="28"/>
    </row>
    <row r="380" spans="1:8">
      <c r="A380" s="385"/>
      <c r="B380" s="252"/>
      <c r="C380" s="180"/>
      <c r="D380" s="180"/>
      <c r="E380" s="180"/>
      <c r="F380" s="180"/>
      <c r="G380" s="253"/>
      <c r="H380" s="28"/>
    </row>
    <row r="381" spans="1:8">
      <c r="A381" s="385"/>
      <c r="B381" s="252"/>
      <c r="C381" s="180"/>
      <c r="D381" s="180"/>
      <c r="E381" s="180"/>
      <c r="F381" s="180"/>
      <c r="G381" s="253"/>
      <c r="H381" s="28"/>
    </row>
    <row r="382" spans="1:8">
      <c r="A382" s="385"/>
      <c r="B382" s="252"/>
      <c r="C382" s="180"/>
      <c r="D382" s="180"/>
      <c r="E382" s="180"/>
      <c r="F382" s="180"/>
      <c r="G382" s="253"/>
      <c r="H382" s="28"/>
    </row>
    <row r="383" spans="1:8">
      <c r="A383" s="385"/>
      <c r="B383" s="252"/>
      <c r="C383" s="180"/>
      <c r="D383" s="180"/>
      <c r="E383" s="180"/>
      <c r="F383" s="180"/>
      <c r="G383" s="253"/>
      <c r="H383" s="28"/>
    </row>
    <row r="384" spans="1:8">
      <c r="A384" s="385"/>
      <c r="B384" s="252"/>
      <c r="C384" s="180"/>
      <c r="D384" s="180"/>
      <c r="E384" s="180"/>
      <c r="F384" s="180"/>
      <c r="G384" s="253"/>
      <c r="H384" s="28"/>
    </row>
    <row r="385" spans="1:18">
      <c r="A385" s="385"/>
      <c r="B385" s="252"/>
      <c r="C385" s="180"/>
      <c r="D385" s="180"/>
      <c r="E385" s="180"/>
      <c r="F385" s="180"/>
      <c r="G385" s="253"/>
      <c r="H385" s="28"/>
    </row>
    <row r="386" spans="1:18">
      <c r="A386" s="385"/>
      <c r="B386" s="252"/>
      <c r="C386" s="180"/>
      <c r="D386" s="180"/>
      <c r="E386" s="180"/>
      <c r="F386" s="180"/>
      <c r="G386" s="253"/>
      <c r="H386" s="28"/>
    </row>
    <row r="387" spans="1:18" ht="121.15" customHeight="1" thickBot="1">
      <c r="A387" s="386"/>
      <c r="B387" s="254"/>
      <c r="C387" s="354"/>
      <c r="D387" s="354"/>
      <c r="E387" s="354"/>
      <c r="F387" s="354"/>
      <c r="G387" s="355"/>
      <c r="H387" s="127"/>
    </row>
    <row r="388" spans="1:18">
      <c r="A388" s="99"/>
      <c r="B388" s="180"/>
      <c r="C388" s="180"/>
      <c r="D388" s="180"/>
      <c r="E388" s="180"/>
      <c r="F388" s="180"/>
      <c r="G388" s="180"/>
    </row>
    <row r="389" spans="1:18">
      <c r="A389" s="99"/>
      <c r="B389" s="180"/>
      <c r="C389" s="180"/>
      <c r="D389" s="180"/>
      <c r="E389" s="180"/>
      <c r="F389" s="180"/>
      <c r="G389" s="180"/>
    </row>
    <row r="390" spans="1:18" ht="15.75" thickBot="1">
      <c r="A390" s="99"/>
      <c r="B390" s="180"/>
      <c r="C390" s="180"/>
      <c r="D390" s="180"/>
      <c r="E390" s="180"/>
      <c r="F390" s="180"/>
      <c r="G390" s="180"/>
    </row>
    <row r="391" spans="1:18" ht="15.75" thickBot="1">
      <c r="A391" s="99"/>
      <c r="B391" s="180"/>
      <c r="C391" s="180"/>
      <c r="D391" s="180"/>
      <c r="E391" s="180"/>
      <c r="F391" s="180"/>
      <c r="G391" s="180"/>
      <c r="O391" s="395" t="s">
        <v>247</v>
      </c>
      <c r="P391" s="396"/>
      <c r="Q391" s="396"/>
      <c r="R391" s="397"/>
    </row>
    <row r="392" spans="1:18" ht="15.75" thickBot="1">
      <c r="B392" s="110" t="s">
        <v>248</v>
      </c>
      <c r="C392" s="118"/>
      <c r="D392" s="118"/>
      <c r="E392" s="118"/>
      <c r="F392" s="118"/>
      <c r="G392" s="118"/>
    </row>
    <row r="393" spans="1:18" ht="15.75" thickBot="1">
      <c r="B393" s="118" t="s">
        <v>249</v>
      </c>
      <c r="C393" s="116">
        <f>+C281*0.8*100</f>
        <v>40</v>
      </c>
      <c r="D393" s="116">
        <f>+D281*0.8*100</f>
        <v>40</v>
      </c>
      <c r="E393" s="116">
        <f>+E281*0.8*100</f>
        <v>40</v>
      </c>
      <c r="F393" s="116">
        <f>+F281*0.8*100</f>
        <v>40</v>
      </c>
      <c r="G393" s="118" t="s">
        <v>250</v>
      </c>
      <c r="J393" s="395" t="str">
        <f>"DIAGRAMA PEDESTAL "&amp;C38</f>
        <v>DIAGRAMA PEDESTAL 1</v>
      </c>
      <c r="K393" s="397"/>
      <c r="L393" s="309" t="s">
        <v>251</v>
      </c>
      <c r="M393" s="310"/>
      <c r="N393" s="111"/>
      <c r="O393" s="395" t="str">
        <f>"DIAGRAMA PEDESTAL " &amp;D38</f>
        <v>DIAGRAMA PEDESTAL 1</v>
      </c>
      <c r="P393" s="397"/>
      <c r="Q393" s="395" t="s">
        <v>251</v>
      </c>
      <c r="R393" s="397"/>
    </row>
    <row r="394" spans="1:18">
      <c r="B394" s="118" t="s">
        <v>252</v>
      </c>
      <c r="C394" s="117">
        <f>+(C281*100)^2/C393</f>
        <v>62.5</v>
      </c>
      <c r="D394" s="117">
        <f t="shared" ref="D394:F394" si="137">+(D281*100)^2/D393</f>
        <v>62.5</v>
      </c>
      <c r="E394" s="117">
        <f t="shared" si="137"/>
        <v>62.5</v>
      </c>
      <c r="F394" s="117">
        <f t="shared" si="137"/>
        <v>62.5</v>
      </c>
      <c r="G394" s="118" t="s">
        <v>250</v>
      </c>
      <c r="J394" s="112" t="s">
        <v>253</v>
      </c>
      <c r="K394" s="112" t="s">
        <v>254</v>
      </c>
      <c r="L394" s="112" t="s">
        <v>158</v>
      </c>
      <c r="M394" s="112" t="s">
        <v>255</v>
      </c>
      <c r="N394" s="111"/>
      <c r="O394" s="112" t="s">
        <v>253</v>
      </c>
      <c r="P394" s="112" t="s">
        <v>254</v>
      </c>
      <c r="Q394" s="112" t="s">
        <v>158</v>
      </c>
      <c r="R394" s="112" t="s">
        <v>255</v>
      </c>
    </row>
    <row r="395" spans="1:18">
      <c r="B395" s="118" t="s">
        <v>256</v>
      </c>
      <c r="C395" s="119">
        <f>+C352</f>
        <v>102</v>
      </c>
      <c r="D395" s="119">
        <f>+D352</f>
        <v>102</v>
      </c>
      <c r="E395" s="119">
        <f>+E352</f>
        <v>102</v>
      </c>
      <c r="F395" s="119">
        <f>+F352</f>
        <v>102</v>
      </c>
      <c r="G395" s="118" t="s">
        <v>257</v>
      </c>
      <c r="J395" s="113">
        <v>0</v>
      </c>
      <c r="K395" s="114">
        <f>+C406</f>
        <v>5781.2580000000007</v>
      </c>
      <c r="L395" s="115">
        <f>+C328</f>
        <v>210.5127176178845</v>
      </c>
      <c r="M395" s="115">
        <f>+C340</f>
        <v>-1221.5999999999999</v>
      </c>
      <c r="N395" s="111"/>
      <c r="O395" s="113">
        <v>0</v>
      </c>
      <c r="P395" s="114">
        <f>+D406</f>
        <v>5781.2580000000007</v>
      </c>
      <c r="Q395" s="115">
        <f>+D328</f>
        <v>213.50249507998092</v>
      </c>
      <c r="R395" s="115">
        <f>+D340</f>
        <v>-1221.5999999999999</v>
      </c>
    </row>
    <row r="396" spans="1:18">
      <c r="B396" s="118" t="s">
        <v>258</v>
      </c>
      <c r="C396" s="115">
        <f>+C395/2</f>
        <v>51</v>
      </c>
      <c r="D396" s="115">
        <f>+D395/2</f>
        <v>51</v>
      </c>
      <c r="E396" s="115">
        <f>+E395/2</f>
        <v>51</v>
      </c>
      <c r="F396" s="115">
        <f>+F395/2</f>
        <v>51</v>
      </c>
      <c r="G396" s="118" t="s">
        <v>257</v>
      </c>
      <c r="J396" s="116">
        <f>+C403</f>
        <v>571.84789609028894</v>
      </c>
      <c r="K396" s="116">
        <f>+C402</f>
        <v>1277.6478686286403</v>
      </c>
      <c r="L396" s="115">
        <f>+C329</f>
        <v>81</v>
      </c>
      <c r="M396" s="115">
        <f>+C341</f>
        <v>953.4</v>
      </c>
      <c r="N396" s="111"/>
      <c r="O396" s="116">
        <f>+D403</f>
        <v>571.84789609028894</v>
      </c>
      <c r="P396" s="114">
        <f>+D402</f>
        <v>1277.6478686286403</v>
      </c>
      <c r="Q396" s="115">
        <f>+D329</f>
        <v>81</v>
      </c>
      <c r="R396" s="115">
        <f>+D341</f>
        <v>953.4</v>
      </c>
    </row>
    <row r="397" spans="1:18">
      <c r="B397" s="118" t="s">
        <v>259</v>
      </c>
      <c r="C397" s="118">
        <f>+C393-2*C45*100</f>
        <v>30</v>
      </c>
      <c r="D397" s="118">
        <f>+D393-2*D45*100</f>
        <v>30</v>
      </c>
      <c r="E397" s="118">
        <f>+E393-2*E45*100</f>
        <v>30</v>
      </c>
      <c r="F397" s="118">
        <f>+F393-2*F45*100</f>
        <v>30</v>
      </c>
      <c r="G397" s="118" t="s">
        <v>250</v>
      </c>
      <c r="J397" s="117">
        <f>+C408</f>
        <v>489.66120000000001</v>
      </c>
      <c r="K397" s="118">
        <v>0</v>
      </c>
      <c r="L397" s="115">
        <f>+C331</f>
        <v>189</v>
      </c>
      <c r="M397" s="115">
        <f>+C343</f>
        <v>278.39999999999998</v>
      </c>
      <c r="N397" s="111"/>
      <c r="O397" s="117">
        <f>+D408</f>
        <v>489.66120000000001</v>
      </c>
      <c r="P397" s="114">
        <v>0</v>
      </c>
      <c r="Q397" s="115">
        <f>+D331</f>
        <v>189</v>
      </c>
      <c r="R397" s="115">
        <f>+D343</f>
        <v>278.39999999999998</v>
      </c>
    </row>
    <row r="398" spans="1:18">
      <c r="B398" s="118" t="s">
        <v>203</v>
      </c>
      <c r="C398" s="115">
        <f>+C393-C45*100</f>
        <v>35</v>
      </c>
      <c r="D398" s="115">
        <f>+D393-D45*100</f>
        <v>35</v>
      </c>
      <c r="E398" s="115">
        <f>+E393-E45*100</f>
        <v>35</v>
      </c>
      <c r="F398" s="115">
        <f>+F393-F45*100</f>
        <v>35</v>
      </c>
      <c r="G398" s="118" t="s">
        <v>250</v>
      </c>
      <c r="J398" s="118">
        <v>0</v>
      </c>
      <c r="K398" s="117">
        <f>+C407</f>
        <v>-3855.6</v>
      </c>
      <c r="L398" s="115">
        <f>+C330</f>
        <v>163.50818165874952</v>
      </c>
      <c r="M398" s="115">
        <f>+C342</f>
        <v>-21.6</v>
      </c>
      <c r="N398" s="111"/>
      <c r="O398" s="118">
        <v>0</v>
      </c>
      <c r="P398" s="114">
        <f>+D407</f>
        <v>-3855.6</v>
      </c>
      <c r="Q398" s="115">
        <f>+D330</f>
        <v>163.61698341250533</v>
      </c>
      <c r="R398" s="115">
        <f>+D342</f>
        <v>-21.6</v>
      </c>
    </row>
    <row r="399" spans="1:18" ht="15.75" thickBot="1">
      <c r="B399" s="118" t="s">
        <v>260</v>
      </c>
      <c r="C399" s="115">
        <f>6100/(6100+C284*10)*C398</f>
        <v>20.728155339805824</v>
      </c>
      <c r="D399" s="115">
        <f>6100/(6100+D284*10)*D398</f>
        <v>20.728155339805824</v>
      </c>
      <c r="E399" s="115">
        <f>6100/(6100+E284*10)*E398</f>
        <v>20.728155339805824</v>
      </c>
      <c r="F399" s="115">
        <f>6100/(6100+F284*10)*F398</f>
        <v>20.728155339805824</v>
      </c>
      <c r="G399" s="118" t="s">
        <v>250</v>
      </c>
      <c r="J399" s="111"/>
      <c r="K399" s="111"/>
      <c r="L399" s="111"/>
      <c r="M399" s="111"/>
      <c r="N399" s="111"/>
      <c r="O399" s="111"/>
      <c r="P399" s="111"/>
      <c r="Q399" s="111"/>
      <c r="R399" s="111"/>
    </row>
    <row r="400" spans="1:18" ht="15.75" thickBot="1">
      <c r="B400" s="118" t="s">
        <v>261</v>
      </c>
      <c r="C400" s="115">
        <f>0.85*C399</f>
        <v>17.618932038834949</v>
      </c>
      <c r="D400" s="115">
        <f>0.85*D399</f>
        <v>17.618932038834949</v>
      </c>
      <c r="E400" s="115">
        <f>0.85*E399</f>
        <v>17.618932038834949</v>
      </c>
      <c r="F400" s="115">
        <f>0.85*F399</f>
        <v>17.618932038834949</v>
      </c>
      <c r="G400" s="118" t="s">
        <v>250</v>
      </c>
      <c r="J400" s="395" t="str">
        <f xml:space="preserve"> "DIAGRAMA PEDESTAL " &amp;E38</f>
        <v>DIAGRAMA PEDESTAL 1</v>
      </c>
      <c r="K400" s="397"/>
      <c r="L400" s="309" t="s">
        <v>251</v>
      </c>
      <c r="M400" s="310"/>
      <c r="N400" s="111"/>
      <c r="O400" s="395" t="str">
        <f>"DIAGRAMA PEDESTAL " &amp;F38</f>
        <v>DIAGRAMA PEDESTAL 1</v>
      </c>
      <c r="P400" s="397"/>
      <c r="Q400" s="395" t="s">
        <v>251</v>
      </c>
      <c r="R400" s="397"/>
    </row>
    <row r="401" spans="2:27">
      <c r="B401" s="118" t="s">
        <v>262</v>
      </c>
      <c r="C401" s="117">
        <f>IF(0.003*2000000*(C399-$C$45*100)/C399&gt;=C284*10,C284*10,0.003*2000000*(C399-$C$45*100)/C399)</f>
        <v>4200</v>
      </c>
      <c r="D401" s="117">
        <f>IF(0.003*2000000*(D399-$C$45*100)/D399&gt;=D284*10,D284*10,0.003*2000000*(D399-$C$45*100)/D399)</f>
        <v>4200</v>
      </c>
      <c r="E401" s="117">
        <f>IF(0.003*2000000*(E399-$C$45*100)/E399&gt;=E284*10,E284*10,0.003*2000000*(E399-$C$45*100)/E399)</f>
        <v>4200</v>
      </c>
      <c r="F401" s="117">
        <f>IF(0.003*2000000*(F399-$C$45*100)/F399&gt;=F284*10,F284*10,0.003*2000000*(F399-$C$45*100)/F399)</f>
        <v>4200</v>
      </c>
      <c r="G401" s="118" t="s">
        <v>263</v>
      </c>
      <c r="J401" s="112" t="s">
        <v>253</v>
      </c>
      <c r="K401" s="112" t="s">
        <v>254</v>
      </c>
      <c r="L401" s="112" t="s">
        <v>158</v>
      </c>
      <c r="M401" s="112" t="s">
        <v>255</v>
      </c>
      <c r="N401" s="111"/>
      <c r="O401" s="112" t="s">
        <v>253</v>
      </c>
      <c r="P401" s="112" t="s">
        <v>254</v>
      </c>
      <c r="Q401" s="112" t="s">
        <v>158</v>
      </c>
      <c r="R401" s="112" t="s">
        <v>255</v>
      </c>
    </row>
    <row r="402" spans="2:27">
      <c r="B402" s="120" t="s">
        <v>264</v>
      </c>
      <c r="C402" s="116">
        <f>0.65*(0.85*C283*10*C394*C400+C396*C401-C396*C284*10)/100</f>
        <v>1277.6478686286403</v>
      </c>
      <c r="D402" s="116">
        <f>0.65*(0.85*D283*10*D394*D400+D396*D401-D396*D284*10)/100</f>
        <v>1277.6478686286403</v>
      </c>
      <c r="E402" s="116">
        <f>0.65*(0.85*E283*10*E394*E400+E396*E401-E396*E284*10)/100</f>
        <v>1277.6478686286403</v>
      </c>
      <c r="F402" s="116">
        <f>0.65*(0.85*F283*10*F394*F400+F396*F401-F396*F284*10)/100</f>
        <v>1277.6478686286403</v>
      </c>
      <c r="G402" s="118" t="s">
        <v>41</v>
      </c>
      <c r="J402" s="113">
        <v>0</v>
      </c>
      <c r="K402" s="114">
        <f>+E406</f>
        <v>5781.2580000000007</v>
      </c>
      <c r="L402" s="115">
        <f>+E328</f>
        <v>213.50249507998092</v>
      </c>
      <c r="M402" s="115">
        <f>+E340</f>
        <v>-1221.5999999999999</v>
      </c>
      <c r="N402" s="111"/>
      <c r="O402" s="113">
        <v>0</v>
      </c>
      <c r="P402" s="114">
        <f>+F406</f>
        <v>5781.2580000000007</v>
      </c>
      <c r="Q402" s="115">
        <f>+F328</f>
        <v>213.50249507998092</v>
      </c>
      <c r="R402" s="115">
        <f>+F340</f>
        <v>-1221.5999999999999</v>
      </c>
    </row>
    <row r="403" spans="2:27">
      <c r="B403" s="120" t="s">
        <v>265</v>
      </c>
      <c r="C403" s="116">
        <f>0.65*(0.85*C283*10*C393*C400*(0.5*C393-C400/2)+C396*C401*(0.5*C393-C45*10)+C396*C284*10*(C398-0.5*C393))/10000</f>
        <v>571.84789609028894</v>
      </c>
      <c r="D403" s="116">
        <f>0.65*(0.85*D283*10*D393*D400*(0.5*D393-D400/2)+D396*D401*(0.5*D393-D45*10)+D396*D284*10*(D398-0.5*D393))/10000</f>
        <v>571.84789609028894</v>
      </c>
      <c r="E403" s="116">
        <f>0.65*(0.85*E283*10*E393*E400*(0.5*E393-E400/2)+E396*E401*(0.5*E393-E45*10)+E396*E284*10*(E398-0.5*E393))/10000</f>
        <v>571.84789609028894</v>
      </c>
      <c r="F403" s="116">
        <f>0.65*(0.85*F283*10*F393*F400*(0.5*F393-F400/2)+F396*F401*(0.5*F393-F45*10)+F396*F284*10*(F398-0.5*F393))/10000</f>
        <v>571.84789609028894</v>
      </c>
      <c r="G403" s="118" t="s">
        <v>77</v>
      </c>
      <c r="J403" s="116">
        <f>+E403</f>
        <v>571.84789609028894</v>
      </c>
      <c r="K403" s="114">
        <f>+E402</f>
        <v>1277.6478686286403</v>
      </c>
      <c r="L403" s="115">
        <f>+E329</f>
        <v>81</v>
      </c>
      <c r="M403" s="115">
        <f>+E341</f>
        <v>953.4</v>
      </c>
      <c r="N403" s="111"/>
      <c r="O403" s="116">
        <f>+F403</f>
        <v>571.84789609028894</v>
      </c>
      <c r="P403" s="114">
        <f>+F402</f>
        <v>1277.6478686286403</v>
      </c>
      <c r="Q403" s="115">
        <f>+F329</f>
        <v>81</v>
      </c>
      <c r="R403" s="115">
        <f>+F341</f>
        <v>953.4</v>
      </c>
    </row>
    <row r="404" spans="2:27">
      <c r="B404" s="120" t="s">
        <v>266</v>
      </c>
      <c r="C404" s="121">
        <f>+C403/C402</f>
        <v>0.44757864050920404</v>
      </c>
      <c r="D404" s="121">
        <f>+D403/D402</f>
        <v>0.44757864050920404</v>
      </c>
      <c r="E404" s="121">
        <f>+E403/E402</f>
        <v>0.44757864050920404</v>
      </c>
      <c r="F404" s="121">
        <f>+F403/F402</f>
        <v>0.44757864050920404</v>
      </c>
      <c r="G404" s="118" t="s">
        <v>50</v>
      </c>
      <c r="J404" s="117">
        <f>+E408</f>
        <v>489.66120000000001</v>
      </c>
      <c r="K404" s="114">
        <v>0</v>
      </c>
      <c r="L404" s="115">
        <f>+E331</f>
        <v>189</v>
      </c>
      <c r="M404" s="115">
        <f>+E343</f>
        <v>278.39999999999998</v>
      </c>
      <c r="N404" s="111"/>
      <c r="O404" s="117">
        <f>+F408</f>
        <v>489.66120000000001</v>
      </c>
      <c r="P404" s="114">
        <v>0</v>
      </c>
      <c r="Q404" s="115">
        <f>+F331</f>
        <v>189</v>
      </c>
      <c r="R404" s="115">
        <f>+F343</f>
        <v>278.39999999999998</v>
      </c>
    </row>
    <row r="405" spans="2:27">
      <c r="B405" s="118"/>
      <c r="C405" s="118"/>
      <c r="D405" s="118"/>
      <c r="E405" s="118"/>
      <c r="F405" s="118"/>
      <c r="G405" s="118"/>
      <c r="J405" s="118">
        <v>0</v>
      </c>
      <c r="K405" s="114">
        <f>E407</f>
        <v>-3855.6</v>
      </c>
      <c r="L405" s="115">
        <f>+E330</f>
        <v>163.61698341250533</v>
      </c>
      <c r="M405" s="115">
        <f>+E342</f>
        <v>-21.6</v>
      </c>
      <c r="N405" s="111"/>
      <c r="O405" s="118">
        <v>0</v>
      </c>
      <c r="P405" s="114">
        <f>F407</f>
        <v>-3855.6</v>
      </c>
      <c r="Q405" s="115">
        <f>+F330</f>
        <v>163.61698341250533</v>
      </c>
      <c r="R405" s="115">
        <f>+F342</f>
        <v>-21.6</v>
      </c>
    </row>
    <row r="406" spans="2:27">
      <c r="B406" s="120" t="s">
        <v>267</v>
      </c>
      <c r="C406" s="116">
        <f>0.75*(0.8*0.85*C283*10*(C393*C394-C395)+C395*C284*10)/100</f>
        <v>5781.2580000000007</v>
      </c>
      <c r="D406" s="116">
        <f>0.75*(0.8*0.85*D283*10*(D393*D394-D395)+D395*D284*10)/100</f>
        <v>5781.2580000000007</v>
      </c>
      <c r="E406" s="116">
        <f>0.75*(0.8*0.85*E283*10*(E393*E394-E395)+E395*E284*10)/100</f>
        <v>5781.2580000000007</v>
      </c>
      <c r="F406" s="116">
        <f>0.75*(0.8*0.85*F283*10*(F393*F394-F395)+F395*F284*10)/100</f>
        <v>5781.2580000000007</v>
      </c>
      <c r="G406" s="118" t="s">
        <v>41</v>
      </c>
      <c r="X406" s="376"/>
      <c r="Y406" s="376"/>
      <c r="Z406" s="376"/>
      <c r="AA406" s="376"/>
    </row>
    <row r="407" spans="2:27">
      <c r="B407" s="120" t="s">
        <v>268</v>
      </c>
      <c r="C407" s="117">
        <f>-C395*C284*10/100*0.9</f>
        <v>-3855.6</v>
      </c>
      <c r="D407" s="117">
        <f>-D395*D284*10/100*0.9</f>
        <v>-3855.6</v>
      </c>
      <c r="E407" s="117">
        <f>-E395*E284*10/100*0.9</f>
        <v>-3855.6</v>
      </c>
      <c r="F407" s="117">
        <f>-F395*F284*10/100*0.9</f>
        <v>-3855.6</v>
      </c>
      <c r="G407" s="118" t="s">
        <v>41</v>
      </c>
      <c r="X407" s="180"/>
      <c r="Y407" s="180"/>
      <c r="Z407" s="180"/>
      <c r="AA407" s="180"/>
    </row>
    <row r="408" spans="2:27">
      <c r="B408" s="120" t="s">
        <v>269</v>
      </c>
      <c r="C408" s="117">
        <f>C396*C284*10*(C398-(C396*C284*10/(0.85*C283*10*C394))/2)/10000*0.9</f>
        <v>489.66120000000001</v>
      </c>
      <c r="D408" s="117">
        <f>D396*D284*10*(D398-(D396*D284*10/(0.85*D283*10*D394))/2)/10000*0.9</f>
        <v>489.66120000000001</v>
      </c>
      <c r="E408" s="117">
        <f>E396*E284*10*(E398-(E396*E284*10/(0.85*E283*10*E394))/2)/10000*0.9</f>
        <v>489.66120000000001</v>
      </c>
      <c r="F408" s="117">
        <f>F396*F284*10*(F398-(F396*F284*10/(0.85*F283*10*F394))/2)/10000*0.9</f>
        <v>489.66120000000001</v>
      </c>
      <c r="G408" s="118" t="s">
        <v>77</v>
      </c>
      <c r="X408" s="100"/>
      <c r="Y408" s="101"/>
      <c r="Z408" s="4"/>
      <c r="AA408" s="4"/>
    </row>
    <row r="409" spans="2:27">
      <c r="B409" s="120" t="s">
        <v>270</v>
      </c>
      <c r="C409" s="116">
        <f>0.1*C283*10*C350/100</f>
        <v>525</v>
      </c>
      <c r="D409" s="116">
        <f>0.1*D283*10*D350/100</f>
        <v>525</v>
      </c>
      <c r="E409" s="116">
        <f>0.1*E283*10*E350/100</f>
        <v>525</v>
      </c>
      <c r="F409" s="116">
        <f>0.1*F283*10*F350/100</f>
        <v>525</v>
      </c>
      <c r="G409" s="118" t="s">
        <v>41</v>
      </c>
      <c r="X409" s="30"/>
      <c r="Y409" s="101"/>
      <c r="Z409" s="4"/>
      <c r="AA409" s="4"/>
    </row>
    <row r="410" spans="2:27">
      <c r="C410" s="100"/>
      <c r="D410" s="100"/>
      <c r="E410" s="100"/>
      <c r="F410" s="100"/>
      <c r="X410" s="102"/>
      <c r="Y410" s="101"/>
      <c r="Z410" s="4"/>
      <c r="AA410" s="4"/>
    </row>
    <row r="411" spans="2:27">
      <c r="Y411" s="101"/>
      <c r="Z411" s="4"/>
      <c r="AA411" s="4"/>
    </row>
    <row r="427" spans="2:2">
      <c r="B427" s="79"/>
    </row>
  </sheetData>
  <mergeCells count="23">
    <mergeCell ref="X406:Y406"/>
    <mergeCell ref="Z406:AA406"/>
    <mergeCell ref="A368:A387"/>
    <mergeCell ref="O391:R391"/>
    <mergeCell ref="J400:K400"/>
    <mergeCell ref="O400:P400"/>
    <mergeCell ref="Q400:R400"/>
    <mergeCell ref="J393:K393"/>
    <mergeCell ref="O393:P393"/>
    <mergeCell ref="Q393:R393"/>
    <mergeCell ref="AJ3:AM3"/>
    <mergeCell ref="F6:G6"/>
    <mergeCell ref="K255:L255"/>
    <mergeCell ref="Q11:V11"/>
    <mergeCell ref="A2:B3"/>
    <mergeCell ref="Q2:V2"/>
    <mergeCell ref="Q3:V3"/>
    <mergeCell ref="W11:Z11"/>
    <mergeCell ref="C19:E19"/>
    <mergeCell ref="F19:H19"/>
    <mergeCell ref="J19:L19"/>
    <mergeCell ref="C27:E27"/>
    <mergeCell ref="F27:H27"/>
  </mergeCells>
  <conditionalFormatting sqref="AI8:AI9 AI11 AF8 AF10">
    <cfRule type="expression" dxfId="83" priority="80">
      <formula>AF8&gt;AF7</formula>
    </cfRule>
  </conditionalFormatting>
  <conditionalFormatting sqref="AI6 AF6">
    <cfRule type="expression" dxfId="82" priority="78">
      <formula>AF6&gt;AF5</formula>
    </cfRule>
  </conditionalFormatting>
  <conditionalFormatting sqref="AH8:AH9 AH11">
    <cfRule type="expression" dxfId="81" priority="77">
      <formula>AH8&gt;AH7</formula>
    </cfRule>
  </conditionalFormatting>
  <conditionalFormatting sqref="AH6">
    <cfRule type="expression" dxfId="80" priority="75">
      <formula>AH6&gt;AH5</formula>
    </cfRule>
  </conditionalFormatting>
  <conditionalFormatting sqref="AF11:AF12">
    <cfRule type="expression" dxfId="79" priority="81">
      <formula>AF11&lt;AG1048565</formula>
    </cfRule>
  </conditionalFormatting>
  <conditionalFormatting sqref="C62:F62">
    <cfRule type="cellIs" dxfId="78" priority="73" operator="notEqual">
      <formula>"OK"</formula>
    </cfRule>
    <cfRule type="cellIs" dxfId="77" priority="74" operator="equal">
      <formula>"OK"</formula>
    </cfRule>
  </conditionalFormatting>
  <conditionalFormatting sqref="C84:F84">
    <cfRule type="cellIs" dxfId="76" priority="71" operator="notEqual">
      <formula>"OK"</formula>
    </cfRule>
    <cfRule type="cellIs" dxfId="75" priority="72" operator="equal">
      <formula>"OK"</formula>
    </cfRule>
  </conditionalFormatting>
  <conditionalFormatting sqref="C98:F98">
    <cfRule type="cellIs" dxfId="74" priority="69" operator="notEqual">
      <formula>"OK"</formula>
    </cfRule>
    <cfRule type="cellIs" dxfId="73" priority="70" operator="equal">
      <formula>"OK"</formula>
    </cfRule>
  </conditionalFormatting>
  <conditionalFormatting sqref="C122:F122">
    <cfRule type="cellIs" dxfId="72" priority="67" operator="notEqual">
      <formula>"OK"</formula>
    </cfRule>
    <cfRule type="cellIs" dxfId="71" priority="68" operator="equal">
      <formula>"OK"</formula>
    </cfRule>
  </conditionalFormatting>
  <conditionalFormatting sqref="C229">
    <cfRule type="cellIs" dxfId="70" priority="65" operator="notEqual">
      <formula>"OK"</formula>
    </cfRule>
    <cfRule type="cellIs" dxfId="69" priority="66" operator="equal">
      <formula>"OK"</formula>
    </cfRule>
  </conditionalFormatting>
  <conditionalFormatting sqref="D229">
    <cfRule type="cellIs" dxfId="68" priority="63" operator="notEqual">
      <formula>"OK"</formula>
    </cfRule>
    <cfRule type="cellIs" dxfId="67" priority="64" operator="equal">
      <formula>"OK"</formula>
    </cfRule>
  </conditionalFormatting>
  <conditionalFormatting sqref="E229">
    <cfRule type="cellIs" dxfId="66" priority="61" operator="notEqual">
      <formula>"OK"</formula>
    </cfRule>
    <cfRule type="cellIs" dxfId="65" priority="62" operator="equal">
      <formula>"OK"</formula>
    </cfRule>
  </conditionalFormatting>
  <conditionalFormatting sqref="F229">
    <cfRule type="cellIs" dxfId="64" priority="59" operator="notEqual">
      <formula>"OK"</formula>
    </cfRule>
    <cfRule type="cellIs" dxfId="63" priority="60" operator="equal">
      <formula>"OK"</formula>
    </cfRule>
  </conditionalFormatting>
  <conditionalFormatting sqref="C234">
    <cfRule type="cellIs" dxfId="62" priority="57" operator="notEqual">
      <formula>"OK"</formula>
    </cfRule>
    <cfRule type="cellIs" dxfId="61" priority="58" operator="equal">
      <formula>"OK"</formula>
    </cfRule>
  </conditionalFormatting>
  <conditionalFormatting sqref="D234">
    <cfRule type="cellIs" dxfId="60" priority="55" operator="notEqual">
      <formula>"OK"</formula>
    </cfRule>
    <cfRule type="cellIs" dxfId="59" priority="56" operator="equal">
      <formula>"OK"</formula>
    </cfRule>
  </conditionalFormatting>
  <conditionalFormatting sqref="E234">
    <cfRule type="cellIs" dxfId="58" priority="53" operator="notEqual">
      <formula>"OK"</formula>
    </cfRule>
    <cfRule type="cellIs" dxfId="57" priority="54" operator="equal">
      <formula>"OK"</formula>
    </cfRule>
  </conditionalFormatting>
  <conditionalFormatting sqref="F234">
    <cfRule type="cellIs" dxfId="56" priority="51" operator="notEqual">
      <formula>"OK"</formula>
    </cfRule>
    <cfRule type="cellIs" dxfId="55" priority="52" operator="equal">
      <formula>"OK"</formula>
    </cfRule>
  </conditionalFormatting>
  <conditionalFormatting sqref="C366">
    <cfRule type="cellIs" dxfId="54" priority="49" operator="notEqual">
      <formula>"OK"</formula>
    </cfRule>
    <cfRule type="cellIs" dxfId="53" priority="50" operator="equal">
      <formula>"OK"</formula>
    </cfRule>
  </conditionalFormatting>
  <conditionalFormatting sqref="D366">
    <cfRule type="cellIs" dxfId="52" priority="47" operator="notEqual">
      <formula>"OK"</formula>
    </cfRule>
    <cfRule type="cellIs" dxfId="51" priority="48" operator="equal">
      <formula>"OK"</formula>
    </cfRule>
  </conditionalFormatting>
  <conditionalFormatting sqref="E366">
    <cfRule type="cellIs" dxfId="50" priority="45" operator="notEqual">
      <formula>"OK"</formula>
    </cfRule>
    <cfRule type="cellIs" dxfId="49" priority="46" operator="equal">
      <formula>"OK"</formula>
    </cfRule>
  </conditionalFormatting>
  <conditionalFormatting sqref="F366">
    <cfRule type="cellIs" dxfId="48" priority="43" operator="notEqual">
      <formula>"OK"</formula>
    </cfRule>
    <cfRule type="cellIs" dxfId="47" priority="44" operator="equal">
      <formula>"OK"</formula>
    </cfRule>
  </conditionalFormatting>
  <conditionalFormatting sqref="D30:G33">
    <cfRule type="cellIs" dxfId="46" priority="42" operator="lessThan">
      <formula>0</formula>
    </cfRule>
  </conditionalFormatting>
  <conditionalFormatting sqref="H30">
    <cfRule type="cellIs" dxfId="45" priority="41" operator="greaterThan">
      <formula>0</formula>
    </cfRule>
  </conditionalFormatting>
  <conditionalFormatting sqref="H31">
    <cfRule type="cellIs" dxfId="44" priority="40" operator="lessThan">
      <formula>0</formula>
    </cfRule>
  </conditionalFormatting>
  <conditionalFormatting sqref="C30">
    <cfRule type="cellIs" dxfId="43" priority="39" operator="greaterThan">
      <formula>0</formula>
    </cfRule>
  </conditionalFormatting>
  <conditionalFormatting sqref="C31">
    <cfRule type="cellIs" dxfId="42" priority="38" operator="lessThan">
      <formula>0</formula>
    </cfRule>
  </conditionalFormatting>
  <conditionalFormatting sqref="C144:F144">
    <cfRule type="cellIs" dxfId="41" priority="36" operator="notEqual">
      <formula>"OK"</formula>
    </cfRule>
    <cfRule type="cellIs" dxfId="40" priority="37" operator="equal">
      <formula>"OK"</formula>
    </cfRule>
  </conditionalFormatting>
  <conditionalFormatting sqref="C166:F166">
    <cfRule type="cellIs" dxfId="39" priority="34" operator="notEqual">
      <formula>"OK"</formula>
    </cfRule>
    <cfRule type="cellIs" dxfId="38" priority="35" operator="equal">
      <formula>"OK"</formula>
    </cfRule>
  </conditionalFormatting>
  <conditionalFormatting sqref="C188:F188">
    <cfRule type="cellIs" dxfId="37" priority="32" operator="notEqual">
      <formula>"OK"</formula>
    </cfRule>
    <cfRule type="cellIs" dxfId="36" priority="33" operator="equal">
      <formula>"OK"</formula>
    </cfRule>
  </conditionalFormatting>
  <conditionalFormatting sqref="C113:F114">
    <cfRule type="cellIs" dxfId="35" priority="31" operator="greaterThan">
      <formula>$C$42/6</formula>
    </cfRule>
  </conditionalFormatting>
  <conditionalFormatting sqref="C135:F136">
    <cfRule type="cellIs" dxfId="34" priority="30" operator="greaterThan">
      <formula>$C$42/6</formula>
    </cfRule>
  </conditionalFormatting>
  <conditionalFormatting sqref="C157:F158">
    <cfRule type="cellIs" dxfId="33" priority="29" operator="greaterThan">
      <formula>$C$42/6</formula>
    </cfRule>
  </conditionalFormatting>
  <conditionalFormatting sqref="C180:F180 D179:F179">
    <cfRule type="cellIs" dxfId="32" priority="28" operator="greaterThan">
      <formula>$C$42/6</formula>
    </cfRule>
  </conditionalFormatting>
  <conditionalFormatting sqref="D206:F207">
    <cfRule type="cellIs" dxfId="31" priority="27" operator="greaterThan">
      <formula>$C$42/6</formula>
    </cfRule>
  </conditionalFormatting>
  <conditionalFormatting sqref="C243:F243">
    <cfRule type="cellIs" dxfId="30" priority="26" operator="greaterThan">
      <formula>0.25</formula>
    </cfRule>
  </conditionalFormatting>
  <conditionalFormatting sqref="C252:F252">
    <cfRule type="cellIs" dxfId="29" priority="25" operator="greaterThan">
      <formula>0.25</formula>
    </cfRule>
  </conditionalFormatting>
  <conditionalFormatting sqref="C358">
    <cfRule type="cellIs" dxfId="28" priority="24" operator="greaterThan">
      <formula>0.3</formula>
    </cfRule>
  </conditionalFormatting>
  <conditionalFormatting sqref="D23:G25 F22:G22">
    <cfRule type="cellIs" dxfId="27" priority="23" operator="lessThan">
      <formula>0</formula>
    </cfRule>
  </conditionalFormatting>
  <conditionalFormatting sqref="H22">
    <cfRule type="cellIs" dxfId="26" priority="22" operator="greaterThan">
      <formula>0</formula>
    </cfRule>
  </conditionalFormatting>
  <conditionalFormatting sqref="H23">
    <cfRule type="cellIs" dxfId="25" priority="21" operator="lessThan">
      <formula>0</formula>
    </cfRule>
  </conditionalFormatting>
  <conditionalFormatting sqref="C22">
    <cfRule type="cellIs" dxfId="24" priority="20" operator="greaterThan">
      <formula>0</formula>
    </cfRule>
  </conditionalFormatting>
  <conditionalFormatting sqref="C23:E23">
    <cfRule type="cellIs" dxfId="23" priority="19" operator="lessThan">
      <formula>0</formula>
    </cfRule>
  </conditionalFormatting>
  <conditionalFormatting sqref="C179">
    <cfRule type="cellIs" dxfId="22" priority="18" operator="greaterThan">
      <formula>$C$42/6</formula>
    </cfRule>
  </conditionalFormatting>
  <conditionalFormatting sqref="C292:F292">
    <cfRule type="cellIs" dxfId="21" priority="17" operator="equal">
      <formula>"Revisar"</formula>
    </cfRule>
  </conditionalFormatting>
  <conditionalFormatting sqref="I46:I52">
    <cfRule type="cellIs" dxfId="20" priority="15" operator="lessThan">
      <formula>1</formula>
    </cfRule>
    <cfRule type="cellIs" dxfId="19" priority="16" operator="greaterThan">
      <formula>1</formula>
    </cfRule>
  </conditionalFormatting>
  <conditionalFormatting sqref="G355">
    <cfRule type="cellIs" dxfId="18" priority="14" operator="lessThan">
      <formula>10</formula>
    </cfRule>
  </conditionalFormatting>
  <conditionalFormatting sqref="G354">
    <cfRule type="cellIs" dxfId="17" priority="10" operator="lessThan">
      <formula>MAX($C$354:$F$354)</formula>
    </cfRule>
    <cfRule type="cellIs" dxfId="16" priority="13" operator="greaterThan">
      <formula>20</formula>
    </cfRule>
  </conditionalFormatting>
  <conditionalFormatting sqref="G251">
    <cfRule type="cellIs" dxfId="15" priority="12" operator="lessThan">
      <formula>MAX($C$251:$F$251)</formula>
    </cfRule>
  </conditionalFormatting>
  <conditionalFormatting sqref="G242">
    <cfRule type="cellIs" dxfId="14" priority="11" operator="lessThan">
      <formula>MAX($C$242:$F$242)</formula>
    </cfRule>
  </conditionalFormatting>
  <conditionalFormatting sqref="C39">
    <cfRule type="cellIs" dxfId="13" priority="82" operator="lessThan">
      <formula>$L$34</formula>
    </cfRule>
  </conditionalFormatting>
  <conditionalFormatting sqref="C42">
    <cfRule type="cellIs" dxfId="12" priority="83" operator="greaterThan">
      <formula>$J$36/2</formula>
    </cfRule>
  </conditionalFormatting>
  <conditionalFormatting sqref="L40:L43">
    <cfRule type="cellIs" dxfId="11" priority="9" operator="greaterThan">
      <formula>$C$40</formula>
    </cfRule>
  </conditionalFormatting>
  <conditionalFormatting sqref="A2:B3 C30:H33 C38:F45 C358:F359 B5:D16 B38:B46 B22:H25 C241:G242 C250:G251 C353:G354">
    <cfRule type="expression" dxfId="10" priority="6" stopIfTrue="1">
      <formula>$J$2=1</formula>
    </cfRule>
  </conditionalFormatting>
  <conditionalFormatting sqref="C344:F347">
    <cfRule type="cellIs" dxfId="9" priority="8" operator="equal">
      <formula>"Aumentar D"</formula>
    </cfRule>
  </conditionalFormatting>
  <conditionalFormatting sqref="D22:E22">
    <cfRule type="cellIs" dxfId="8" priority="7" operator="lessThan">
      <formula>0</formula>
    </cfRule>
  </conditionalFormatting>
  <conditionalFormatting sqref="C40">
    <cfRule type="expression" dxfId="7" priority="5">
      <formula>AND($C$40&lt;&gt;0.4, $J$5=1)</formula>
    </cfRule>
  </conditionalFormatting>
  <conditionalFormatting sqref="I344">
    <cfRule type="cellIs" dxfId="6" priority="4" operator="equal">
      <formula>"Aumentar D"</formula>
    </cfRule>
  </conditionalFormatting>
  <conditionalFormatting sqref="M45:M46">
    <cfRule type="cellIs" dxfId="5" priority="3" operator="equal">
      <formula>"Aumentar D"</formula>
    </cfRule>
  </conditionalFormatting>
  <conditionalFormatting sqref="C43">
    <cfRule type="expression" dxfId="4" priority="84">
      <formula>AND($C$43&lt;&gt;1, $J$5=1)</formula>
    </cfRule>
    <cfRule type="expression" dxfId="3" priority="85">
      <formula>AND($C$43&lt;$L$35, $J$5&lt;&gt;1)</formula>
    </cfRule>
  </conditionalFormatting>
  <conditionalFormatting sqref="J357">
    <cfRule type="cellIs" dxfId="2" priority="1" operator="notEqual">
      <formula>"OK"</formula>
    </cfRule>
    <cfRule type="cellIs" dxfId="1" priority="2" operator="equal">
      <formula>"OK"</formula>
    </cfRule>
  </conditionalFormatting>
  <conditionalFormatting sqref="AH12:AI13">
    <cfRule type="expression" dxfId="0" priority="289">
      <formula>AH12&lt;AH1048576</formula>
    </cfRule>
  </conditionalFormatting>
  <dataValidations disablePrompts="1" count="3">
    <dataValidation type="list" allowBlank="1" showInputMessage="1" showErrorMessage="1" sqref="D5">
      <formula1>$Y$5:$Y$6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C241:F241 C353:F353 C250:F250 C359">
      <formula1>$K$256:$K$261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34" max="7" man="1"/>
    <brk id="206" max="7" man="1"/>
    <brk id="266" max="7" man="1"/>
    <brk id="320" max="7" man="1"/>
    <brk id="369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447675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276225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219075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36" sqref="C36"/>
    </sheetView>
  </sheetViews>
  <sheetFormatPr baseColWidth="10" defaultColWidth="11.42578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>
      <selection activeCell="B9" sqref="B9"/>
    </sheetView>
  </sheetViews>
  <sheetFormatPr baseColWidth="10" defaultColWidth="11.5703125" defaultRowHeight="15"/>
  <cols>
    <col min="1" max="1" width="30.7109375" bestFit="1" customWidth="1"/>
    <col min="2" max="2" width="16.5703125" bestFit="1" customWidth="1"/>
  </cols>
  <sheetData>
    <row r="1" spans="1:2">
      <c r="A1" t="s">
        <v>419</v>
      </c>
    </row>
    <row r="2" spans="1:2">
      <c r="A2" t="s">
        <v>421</v>
      </c>
      <c r="B2" s="350" t="s">
        <v>423</v>
      </c>
    </row>
    <row r="3" spans="1:2">
      <c r="B3" s="350" t="s">
        <v>424</v>
      </c>
    </row>
    <row r="4" spans="1:2">
      <c r="B4" s="350" t="s">
        <v>319</v>
      </c>
    </row>
    <row r="5" spans="1:2">
      <c r="B5" s="350" t="s">
        <v>425</v>
      </c>
    </row>
    <row r="6" spans="1:2">
      <c r="B6" s="350" t="s">
        <v>426</v>
      </c>
    </row>
    <row r="7" spans="1:2">
      <c r="B7" s="350" t="s">
        <v>427</v>
      </c>
    </row>
    <row r="8" spans="1:2">
      <c r="B8" s="350" t="s">
        <v>428</v>
      </c>
    </row>
    <row r="9" spans="1:2">
      <c r="B9" s="350" t="s">
        <v>429</v>
      </c>
    </row>
    <row r="10" spans="1:2">
      <c r="B10" s="350" t="s">
        <v>430</v>
      </c>
    </row>
    <row r="11" spans="1:2">
      <c r="B11" s="350" t="s">
        <v>431</v>
      </c>
    </row>
    <row r="12" spans="1:2">
      <c r="B12" s="350" t="s">
        <v>432</v>
      </c>
    </row>
    <row r="14" spans="1:2">
      <c r="A14" t="s">
        <v>420</v>
      </c>
    </row>
    <row r="17" spans="1:1">
      <c r="A17" t="s">
        <v>422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(try)</vt:lpstr>
      <vt:lpstr>Hoja1</vt:lpstr>
      <vt:lpstr>Hoja2</vt:lpstr>
      <vt:lpstr>Dis_Cuadrado!Área_de_impresión</vt:lpstr>
      <vt:lpstr>'Dis_Cuadrado (try)'!Área_de_impresión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Camilo Galeano Gallego</cp:lastModifiedBy>
  <cp:revision/>
  <dcterms:created xsi:type="dcterms:W3CDTF">2021-11-10T12:14:44Z</dcterms:created>
  <dcterms:modified xsi:type="dcterms:W3CDTF">2025-05-05T19:27:43Z</dcterms:modified>
</cp:coreProperties>
</file>