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450" tabRatio="718" firstSheet="2" activeTab="2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(try)'!$A$2:$H$389</definedName>
  </definedNames>
  <calcPr calcId="145621"/>
</workbook>
</file>

<file path=xl/calcChain.xml><?xml version="1.0" encoding="utf-8"?>
<calcChain xmlns="http://schemas.openxmlformats.org/spreadsheetml/2006/main">
  <c r="C251" i="132" l="1"/>
  <c r="C206" i="132"/>
  <c r="C248" i="132"/>
  <c r="C180" i="132" l="1"/>
  <c r="C190" i="132"/>
  <c r="C184" i="132"/>
  <c r="C191" i="132"/>
  <c r="F174" i="132"/>
  <c r="E174" i="132"/>
  <c r="D174" i="132"/>
  <c r="C174" i="132"/>
  <c r="F173" i="132"/>
  <c r="E173" i="132"/>
  <c r="D173" i="132"/>
  <c r="C173" i="132"/>
  <c r="C179" i="132"/>
  <c r="F179" i="132"/>
  <c r="E179" i="132"/>
  <c r="D179" i="132"/>
  <c r="C90" i="132"/>
  <c r="F73" i="132"/>
  <c r="E73" i="132"/>
  <c r="D73" i="132"/>
  <c r="C73" i="132"/>
  <c r="C68" i="132"/>
  <c r="C69" i="132"/>
  <c r="F31" i="132"/>
  <c r="C252" i="132" l="1"/>
  <c r="C255" i="132" s="1"/>
  <c r="C50" i="132"/>
  <c r="F226" i="132"/>
  <c r="E226" i="132"/>
  <c r="D226" i="132"/>
  <c r="C226" i="132"/>
  <c r="C60" i="132"/>
  <c r="I371" i="132" l="1"/>
  <c r="C358" i="132"/>
  <c r="C362" i="132"/>
  <c r="K363" i="132"/>
  <c r="N380" i="132"/>
  <c r="N379" i="132"/>
  <c r="N378" i="132"/>
  <c r="C234" i="132" l="1"/>
  <c r="C227" i="132"/>
  <c r="C46" i="132"/>
  <c r="C219" i="132" s="1"/>
  <c r="F170" i="132"/>
  <c r="E170" i="132"/>
  <c r="D170" i="132"/>
  <c r="C170" i="132"/>
  <c r="F169" i="132"/>
  <c r="E169" i="132"/>
  <c r="D169" i="132"/>
  <c r="C169" i="132"/>
  <c r="C152" i="132"/>
  <c r="C151" i="132"/>
  <c r="F148" i="132"/>
  <c r="E148" i="132"/>
  <c r="D148" i="132"/>
  <c r="C148" i="132"/>
  <c r="F147" i="132"/>
  <c r="E147" i="132"/>
  <c r="D147" i="132"/>
  <c r="C147" i="132"/>
  <c r="C130" i="132"/>
  <c r="C129" i="132"/>
  <c r="F126" i="132"/>
  <c r="E126" i="132"/>
  <c r="D126" i="132"/>
  <c r="C126" i="132"/>
  <c r="F125" i="132"/>
  <c r="E125" i="132"/>
  <c r="D125" i="132"/>
  <c r="C125" i="132"/>
  <c r="C232" i="132" l="1"/>
  <c r="C221" i="132"/>
  <c r="C228" i="132" s="1"/>
  <c r="C225" i="132" s="1"/>
  <c r="F197" i="132"/>
  <c r="E197" i="132"/>
  <c r="D197" i="132"/>
  <c r="C197" i="132"/>
  <c r="F196" i="132"/>
  <c r="E196" i="132"/>
  <c r="D196" i="132"/>
  <c r="C196" i="132"/>
  <c r="F104" i="132"/>
  <c r="E104" i="132"/>
  <c r="D104" i="132"/>
  <c r="C104" i="132"/>
  <c r="F103" i="132"/>
  <c r="E103" i="132"/>
  <c r="D103" i="132"/>
  <c r="C103" i="132"/>
  <c r="C223" i="132" l="1"/>
  <c r="C88" i="132"/>
  <c r="C64" i="132"/>
  <c r="D64" i="132" s="1"/>
  <c r="D65" i="132" l="1"/>
  <c r="E64" i="132"/>
  <c r="E65" i="132" s="1"/>
  <c r="C65" i="132"/>
  <c r="C10" i="130"/>
  <c r="C12" i="130"/>
  <c r="F64" i="132" l="1"/>
  <c r="F65" i="132" s="1"/>
  <c r="H90" i="132"/>
  <c r="F89" i="132" l="1"/>
  <c r="E89" i="132"/>
  <c r="D89" i="132"/>
  <c r="C89" i="132"/>
  <c r="F88" i="132"/>
  <c r="E88" i="132"/>
  <c r="D88" i="132"/>
  <c r="F60" i="132"/>
  <c r="E60" i="132"/>
  <c r="D60" i="132"/>
  <c r="J56" i="132" l="1"/>
  <c r="J55" i="132"/>
  <c r="O402" i="132"/>
  <c r="J402" i="132"/>
  <c r="O395" i="132"/>
  <c r="J395" i="132"/>
  <c r="O368" i="132"/>
  <c r="O364" i="132"/>
  <c r="O365" i="132" s="1"/>
  <c r="B364" i="132"/>
  <c r="D361" i="132"/>
  <c r="D362" i="132" s="1"/>
  <c r="D360" i="132"/>
  <c r="E360" i="132" s="1"/>
  <c r="F360" i="132" s="1"/>
  <c r="I359" i="132"/>
  <c r="G357" i="132"/>
  <c r="B356" i="132"/>
  <c r="D355" i="132"/>
  <c r="E355" i="132" s="1"/>
  <c r="F355" i="132" s="1"/>
  <c r="R354" i="132"/>
  <c r="R355" i="132" s="1"/>
  <c r="G345" i="132"/>
  <c r="G344" i="132"/>
  <c r="G343" i="132"/>
  <c r="G342" i="132"/>
  <c r="Q340" i="132"/>
  <c r="Q339" i="132"/>
  <c r="G339" i="132"/>
  <c r="Q338" i="132"/>
  <c r="U338" i="132" s="1"/>
  <c r="G338" i="132"/>
  <c r="G337" i="132"/>
  <c r="G336" i="132"/>
  <c r="P327" i="132"/>
  <c r="P326" i="132"/>
  <c r="R326" i="132" s="1"/>
  <c r="R327" i="132" s="1"/>
  <c r="R325" i="132"/>
  <c r="P325" i="132"/>
  <c r="F286" i="132"/>
  <c r="E286" i="132"/>
  <c r="D286" i="132"/>
  <c r="C286" i="132"/>
  <c r="F285" i="132"/>
  <c r="E285" i="132"/>
  <c r="D285" i="132"/>
  <c r="C285" i="132"/>
  <c r="C283" i="132"/>
  <c r="D369" i="132" s="1"/>
  <c r="F282" i="132"/>
  <c r="E282" i="132"/>
  <c r="D282" i="132"/>
  <c r="C282" i="132"/>
  <c r="C281" i="132"/>
  <c r="C280" i="132"/>
  <c r="G253" i="132"/>
  <c r="B253" i="132"/>
  <c r="J246" i="132"/>
  <c r="B244" i="132"/>
  <c r="D243" i="132"/>
  <c r="E243" i="132" s="1"/>
  <c r="F243" i="132" s="1"/>
  <c r="F234" i="132"/>
  <c r="E234" i="132"/>
  <c r="D234" i="132"/>
  <c r="F227" i="132"/>
  <c r="E227" i="132"/>
  <c r="D227" i="132"/>
  <c r="S211" i="132"/>
  <c r="P211" i="132"/>
  <c r="O211" i="132"/>
  <c r="N211" i="132"/>
  <c r="M211" i="132"/>
  <c r="C209" i="132"/>
  <c r="F188" i="132"/>
  <c r="E188" i="132"/>
  <c r="D188" i="132"/>
  <c r="C188" i="132"/>
  <c r="L187" i="132" s="1"/>
  <c r="C182" i="132"/>
  <c r="F166" i="132"/>
  <c r="E166" i="132"/>
  <c r="D166" i="132"/>
  <c r="C166" i="132"/>
  <c r="L165" i="132" s="1"/>
  <c r="C160" i="132"/>
  <c r="F146" i="132"/>
  <c r="E146" i="132"/>
  <c r="D146" i="132"/>
  <c r="C146" i="132"/>
  <c r="F144" i="132"/>
  <c r="E144" i="132"/>
  <c r="D144" i="132"/>
  <c r="C144" i="132"/>
  <c r="L143" i="132" s="1"/>
  <c r="C138" i="132"/>
  <c r="F122" i="132"/>
  <c r="E122" i="132"/>
  <c r="D122" i="132"/>
  <c r="C122" i="132"/>
  <c r="L121" i="132" s="1"/>
  <c r="C116" i="132"/>
  <c r="C51" i="132"/>
  <c r="C47" i="132"/>
  <c r="L41" i="132"/>
  <c r="D44" i="132"/>
  <c r="E44" i="132" s="1"/>
  <c r="F44" i="132" s="1"/>
  <c r="D43" i="132"/>
  <c r="D69" i="132" s="1"/>
  <c r="D42" i="132"/>
  <c r="C41" i="132"/>
  <c r="C364" i="132" s="1"/>
  <c r="L40" i="132"/>
  <c r="D40" i="132"/>
  <c r="D39" i="132"/>
  <c r="L37" i="132"/>
  <c r="L35" i="132"/>
  <c r="L34" i="132"/>
  <c r="E33" i="132"/>
  <c r="D33" i="132"/>
  <c r="C276" i="132" s="1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H30" i="132"/>
  <c r="F30" i="132"/>
  <c r="C14" i="132"/>
  <c r="C56" i="132" s="1"/>
  <c r="C192" i="132" s="1"/>
  <c r="C12" i="132"/>
  <c r="C237" i="132" s="1"/>
  <c r="C11" i="132"/>
  <c r="C10" i="132"/>
  <c r="C8" i="132"/>
  <c r="AD5" i="132"/>
  <c r="AC5" i="132"/>
  <c r="AB5" i="132"/>
  <c r="AA5" i="132"/>
  <c r="Z5" i="132"/>
  <c r="K58" i="130"/>
  <c r="C54" i="132"/>
  <c r="D194" i="132" l="1"/>
  <c r="D200" i="132"/>
  <c r="C266" i="132"/>
  <c r="C287" i="132"/>
  <c r="C365" i="132"/>
  <c r="C363" i="132"/>
  <c r="C271" i="132"/>
  <c r="C74" i="132"/>
  <c r="C238" i="132"/>
  <c r="C366" i="132"/>
  <c r="C369" i="132"/>
  <c r="E369" i="132" s="1"/>
  <c r="C352" i="132"/>
  <c r="C411" i="132" s="1"/>
  <c r="C291" i="132"/>
  <c r="C288" i="132"/>
  <c r="C261" i="132"/>
  <c r="J72" i="132"/>
  <c r="D129" i="132"/>
  <c r="D151" i="132"/>
  <c r="D130" i="132"/>
  <c r="D152" i="132"/>
  <c r="D68" i="132"/>
  <c r="C75" i="132"/>
  <c r="C77" i="132"/>
  <c r="C76" i="132"/>
  <c r="D281" i="132"/>
  <c r="D41" i="132"/>
  <c r="D49" i="132" s="1"/>
  <c r="D57" i="132" s="1"/>
  <c r="C55" i="132"/>
  <c r="C91" i="132"/>
  <c r="C66" i="132" s="1"/>
  <c r="AA339" i="132"/>
  <c r="C108" i="132"/>
  <c r="L42" i="132"/>
  <c r="D252" i="132"/>
  <c r="E252" i="132" s="1"/>
  <c r="F252" i="132" s="1"/>
  <c r="E40" i="132"/>
  <c r="AL338" i="132"/>
  <c r="D45" i="132"/>
  <c r="D254" i="132" s="1"/>
  <c r="C284" i="132"/>
  <c r="C265" i="132" s="1"/>
  <c r="C343" i="132" s="1"/>
  <c r="C347" i="132" s="1"/>
  <c r="AL339" i="132"/>
  <c r="E361" i="132"/>
  <c r="F361" i="132" s="1"/>
  <c r="F362" i="132" s="1"/>
  <c r="AL340" i="132"/>
  <c r="AA340" i="132"/>
  <c r="D283" i="132"/>
  <c r="D363" i="132" s="1"/>
  <c r="E39" i="132"/>
  <c r="D280" i="132"/>
  <c r="D47" i="132"/>
  <c r="D74" i="132" s="1"/>
  <c r="D51" i="132"/>
  <c r="E43" i="132"/>
  <c r="F261" i="132"/>
  <c r="E261" i="132"/>
  <c r="D261" i="132"/>
  <c r="G31" i="132"/>
  <c r="E276" i="132"/>
  <c r="F276" i="132"/>
  <c r="D276" i="132"/>
  <c r="D209" i="132"/>
  <c r="D182" i="132"/>
  <c r="D138" i="132"/>
  <c r="E42" i="132"/>
  <c r="D160" i="132"/>
  <c r="D116" i="132"/>
  <c r="G32" i="132"/>
  <c r="F271" i="132"/>
  <c r="E271" i="132"/>
  <c r="D271" i="132"/>
  <c r="D107" i="132"/>
  <c r="C107" i="132"/>
  <c r="G30" i="132"/>
  <c r="C201" i="132" s="1"/>
  <c r="E266" i="132"/>
  <c r="F266" i="132"/>
  <c r="D266" i="132"/>
  <c r="F32" i="132"/>
  <c r="D50" i="132"/>
  <c r="D56" i="132" s="1"/>
  <c r="D192" i="132" s="1"/>
  <c r="C254" i="132"/>
  <c r="J356" i="132"/>
  <c r="I360" i="132" s="1"/>
  <c r="D108" i="132"/>
  <c r="G33" i="132"/>
  <c r="L43" i="132"/>
  <c r="C49" i="132"/>
  <c r="C57" i="132" s="1"/>
  <c r="C249" i="132" s="1"/>
  <c r="C253" i="132" s="1"/>
  <c r="Q211" i="132"/>
  <c r="C245" i="132"/>
  <c r="D287" i="132"/>
  <c r="U340" i="132"/>
  <c r="C395" i="132"/>
  <c r="C396" i="132" s="1"/>
  <c r="E287" i="132"/>
  <c r="R328" i="132"/>
  <c r="U339" i="132"/>
  <c r="C350" i="132"/>
  <c r="F287" i="132"/>
  <c r="AA338" i="132"/>
  <c r="D54" i="132"/>
  <c r="C58" i="132" l="1"/>
  <c r="C61" i="132"/>
  <c r="C296" i="132"/>
  <c r="C300" i="132" s="1"/>
  <c r="C367" i="132"/>
  <c r="C275" i="132"/>
  <c r="C305" i="132" s="1"/>
  <c r="C293" i="132"/>
  <c r="C294" i="132" s="1"/>
  <c r="C260" i="132"/>
  <c r="C262" i="132"/>
  <c r="C157" i="132"/>
  <c r="I72" i="132"/>
  <c r="D46" i="132"/>
  <c r="D232" i="132" s="1"/>
  <c r="D245" i="132"/>
  <c r="E152" i="132"/>
  <c r="E151" i="132"/>
  <c r="E130" i="132"/>
  <c r="E129" i="132"/>
  <c r="E68" i="132"/>
  <c r="D284" i="132"/>
  <c r="D267" i="132" s="1"/>
  <c r="D75" i="132"/>
  <c r="C78" i="132"/>
  <c r="E281" i="132"/>
  <c r="D91" i="132"/>
  <c r="D76" i="132"/>
  <c r="D77" i="132"/>
  <c r="C270" i="132"/>
  <c r="C344" i="132" s="1"/>
  <c r="C87" i="132"/>
  <c r="C93" i="132" s="1"/>
  <c r="D66" i="132"/>
  <c r="E66" i="132" s="1"/>
  <c r="F66" i="132" s="1"/>
  <c r="C67" i="132"/>
  <c r="D67" i="132" s="1"/>
  <c r="E67" i="132" s="1"/>
  <c r="F67" i="132" s="1"/>
  <c r="E69" i="132"/>
  <c r="E362" i="132"/>
  <c r="D55" i="132"/>
  <c r="D58" i="132" s="1"/>
  <c r="D364" i="132"/>
  <c r="E45" i="132"/>
  <c r="F45" i="132" s="1"/>
  <c r="F40" i="132"/>
  <c r="E107" i="132"/>
  <c r="E108" i="132"/>
  <c r="D365" i="132"/>
  <c r="D366" i="132"/>
  <c r="D339" i="132"/>
  <c r="F339" i="132"/>
  <c r="E339" i="132"/>
  <c r="E283" i="132"/>
  <c r="F39" i="132"/>
  <c r="C277" i="132"/>
  <c r="C339" i="132"/>
  <c r="J359" i="132"/>
  <c r="C337" i="132"/>
  <c r="C267" i="132"/>
  <c r="D338" i="132"/>
  <c r="D337" i="132"/>
  <c r="E338" i="132"/>
  <c r="E280" i="132"/>
  <c r="E47" i="132"/>
  <c r="E74" i="132" s="1"/>
  <c r="E50" i="132"/>
  <c r="E56" i="132" s="1"/>
  <c r="E192" i="132" s="1"/>
  <c r="E41" i="132"/>
  <c r="E51" i="132"/>
  <c r="F43" i="132"/>
  <c r="D352" i="132"/>
  <c r="D411" i="132" s="1"/>
  <c r="D350" i="132"/>
  <c r="D395" i="132"/>
  <c r="D396" i="132" s="1"/>
  <c r="D291" i="132"/>
  <c r="D288" i="132"/>
  <c r="D296" i="132" s="1"/>
  <c r="C113" i="132"/>
  <c r="C336" i="132"/>
  <c r="C400" i="132"/>
  <c r="C401" i="132" s="1"/>
  <c r="C399" i="132"/>
  <c r="F337" i="132"/>
  <c r="F338" i="132"/>
  <c r="D336" i="132"/>
  <c r="R340" i="132"/>
  <c r="R338" i="132"/>
  <c r="R339" i="132"/>
  <c r="E337" i="132"/>
  <c r="C338" i="132"/>
  <c r="C272" i="132"/>
  <c r="E336" i="132"/>
  <c r="E209" i="132"/>
  <c r="E182" i="132"/>
  <c r="E138" i="132"/>
  <c r="E160" i="132"/>
  <c r="E116" i="132"/>
  <c r="F42" i="132"/>
  <c r="F336" i="132"/>
  <c r="I339" i="130"/>
  <c r="E54" i="132"/>
  <c r="F54" i="132"/>
  <c r="C105" i="132" l="1"/>
  <c r="C79" i="132"/>
  <c r="C81" i="132" s="1"/>
  <c r="D72" i="132"/>
  <c r="C70" i="132"/>
  <c r="C71" i="132"/>
  <c r="C72" i="132"/>
  <c r="C319" i="132"/>
  <c r="C320" i="132"/>
  <c r="C326" i="132" s="1"/>
  <c r="D206" i="132"/>
  <c r="D221" i="132"/>
  <c r="D228" i="132" s="1"/>
  <c r="D225" i="132" s="1"/>
  <c r="D223" i="132" s="1"/>
  <c r="C318" i="132"/>
  <c r="C324" i="132" s="1"/>
  <c r="C321" i="132"/>
  <c r="C327" i="132" s="1"/>
  <c r="C333" i="132"/>
  <c r="C345" i="132"/>
  <c r="C349" i="132" s="1"/>
  <c r="D293" i="132"/>
  <c r="D294" i="132" s="1"/>
  <c r="C368" i="132"/>
  <c r="D318" i="132"/>
  <c r="C331" i="132"/>
  <c r="L398" i="132" s="1"/>
  <c r="C302" i="132"/>
  <c r="C309" i="132" s="1"/>
  <c r="C342" i="132"/>
  <c r="M397" i="132" s="1"/>
  <c r="D277" i="132"/>
  <c r="D275" i="132"/>
  <c r="D345" i="132" s="1"/>
  <c r="D300" i="132"/>
  <c r="D262" i="132"/>
  <c r="D260" i="132"/>
  <c r="D272" i="132"/>
  <c r="E172" i="132"/>
  <c r="C149" i="132"/>
  <c r="E127" i="132"/>
  <c r="D105" i="132"/>
  <c r="I74" i="132" s="1"/>
  <c r="E149" i="132"/>
  <c r="C128" i="132"/>
  <c r="D172" i="132"/>
  <c r="F150" i="132"/>
  <c r="D127" i="132"/>
  <c r="C172" i="132"/>
  <c r="C198" i="132" s="1"/>
  <c r="F106" i="132"/>
  <c r="E106" i="132"/>
  <c r="D171" i="132"/>
  <c r="F149" i="132"/>
  <c r="E150" i="132"/>
  <c r="C127" i="132"/>
  <c r="D106" i="132"/>
  <c r="D128" i="132"/>
  <c r="C106" i="132"/>
  <c r="C171" i="132"/>
  <c r="C199" i="132" s="1"/>
  <c r="F105" i="132"/>
  <c r="F172" i="132"/>
  <c r="D149" i="132"/>
  <c r="F127" i="132"/>
  <c r="E105" i="132"/>
  <c r="F171" i="132"/>
  <c r="D150" i="132"/>
  <c r="F128" i="132"/>
  <c r="E171" i="132"/>
  <c r="C150" i="132"/>
  <c r="E128" i="132"/>
  <c r="C304" i="132"/>
  <c r="C313" i="132" s="1"/>
  <c r="F152" i="132"/>
  <c r="F151" i="132"/>
  <c r="F130" i="132"/>
  <c r="F129" i="132"/>
  <c r="D70" i="132"/>
  <c r="D78" i="132"/>
  <c r="E284" i="132"/>
  <c r="E272" i="132" s="1"/>
  <c r="D265" i="132"/>
  <c r="D303" i="132" s="1"/>
  <c r="D270" i="132"/>
  <c r="D344" i="132" s="1"/>
  <c r="R400" i="132" s="1"/>
  <c r="E75" i="132"/>
  <c r="C325" i="132"/>
  <c r="E91" i="132"/>
  <c r="E76" i="132"/>
  <c r="E77" i="132"/>
  <c r="C303" i="132"/>
  <c r="E245" i="132"/>
  <c r="E254" i="132"/>
  <c r="E46" i="132"/>
  <c r="E221" i="132" s="1"/>
  <c r="E228" i="132" s="1"/>
  <c r="E225" i="132" s="1"/>
  <c r="F46" i="132"/>
  <c r="F221" i="132" s="1"/>
  <c r="F228" i="132" s="1"/>
  <c r="F225" i="132" s="1"/>
  <c r="C96" i="132"/>
  <c r="C99" i="132" s="1"/>
  <c r="C94" i="132"/>
  <c r="C95" i="132"/>
  <c r="F281" i="132"/>
  <c r="F69" i="132"/>
  <c r="F68" i="132"/>
  <c r="D157" i="132"/>
  <c r="D87" i="132"/>
  <c r="D90" i="132" s="1"/>
  <c r="D93" i="132" s="1"/>
  <c r="F55" i="132"/>
  <c r="E55" i="132"/>
  <c r="D113" i="132"/>
  <c r="D248" i="132"/>
  <c r="D249" i="132" s="1"/>
  <c r="D251" i="132" s="1"/>
  <c r="D253" i="132" s="1"/>
  <c r="J54" i="132"/>
  <c r="D61" i="132"/>
  <c r="D62" i="132" s="1"/>
  <c r="C311" i="132"/>
  <c r="D135" i="132"/>
  <c r="C315" i="132"/>
  <c r="D367" i="132"/>
  <c r="D368" i="132" s="1"/>
  <c r="AI339" i="132"/>
  <c r="S339" i="132"/>
  <c r="AG339" i="132"/>
  <c r="Y339" i="132"/>
  <c r="X339" i="132"/>
  <c r="AM339" i="132"/>
  <c r="V339" i="132"/>
  <c r="AJ339" i="132"/>
  <c r="T339" i="132"/>
  <c r="W339" i="132" s="1"/>
  <c r="AH339" i="132"/>
  <c r="F245" i="132"/>
  <c r="F254" i="132"/>
  <c r="F209" i="132"/>
  <c r="F138" i="132"/>
  <c r="F160" i="132"/>
  <c r="F116" i="132"/>
  <c r="F182" i="132"/>
  <c r="M398" i="132"/>
  <c r="AM338" i="132"/>
  <c r="AJ338" i="132"/>
  <c r="T338" i="132"/>
  <c r="W338" i="132" s="1"/>
  <c r="AI338" i="132"/>
  <c r="S338" i="132"/>
  <c r="AH338" i="132"/>
  <c r="AG338" i="132"/>
  <c r="Y338" i="132"/>
  <c r="X338" i="132"/>
  <c r="V338" i="132"/>
  <c r="F47" i="132"/>
  <c r="F74" i="132" s="1"/>
  <c r="F50" i="132"/>
  <c r="F56" i="132" s="1"/>
  <c r="F192" i="132" s="1"/>
  <c r="F51" i="132"/>
  <c r="F280" i="132"/>
  <c r="F41" i="132"/>
  <c r="F364" i="132" s="1"/>
  <c r="F107" i="132"/>
  <c r="F108" i="132"/>
  <c r="D320" i="132"/>
  <c r="E288" i="132"/>
  <c r="E296" i="132" s="1"/>
  <c r="E363" i="132"/>
  <c r="E352" i="132"/>
  <c r="E411" i="132" s="1"/>
  <c r="E350" i="132"/>
  <c r="E395" i="132"/>
  <c r="E396" i="132" s="1"/>
  <c r="E291" i="132"/>
  <c r="E365" i="132"/>
  <c r="AJ340" i="132"/>
  <c r="T340" i="132"/>
  <c r="W340" i="132" s="1"/>
  <c r="AH340" i="132"/>
  <c r="AG340" i="132"/>
  <c r="Y340" i="132"/>
  <c r="X340" i="132"/>
  <c r="AM340" i="132"/>
  <c r="V340" i="132"/>
  <c r="S340" i="132"/>
  <c r="AI340" i="132"/>
  <c r="D321" i="132"/>
  <c r="D327" i="132" s="1"/>
  <c r="D319" i="132"/>
  <c r="C403" i="132"/>
  <c r="C402" i="132"/>
  <c r="J368" i="132"/>
  <c r="L52" i="132" s="1"/>
  <c r="D400" i="132"/>
  <c r="D401" i="132" s="1"/>
  <c r="D399" i="132"/>
  <c r="E364" i="132"/>
  <c r="E49" i="132"/>
  <c r="F283" i="132"/>
  <c r="M400" i="132"/>
  <c r="E366" i="132"/>
  <c r="C135" i="132"/>
  <c r="C41" i="130"/>
  <c r="F22" i="130"/>
  <c r="G22" i="130"/>
  <c r="H25" i="130"/>
  <c r="H22" i="130"/>
  <c r="H24" i="130"/>
  <c r="D81" i="132" l="1"/>
  <c r="C80" i="132"/>
  <c r="C175" i="132" s="1"/>
  <c r="C176" i="132" s="1"/>
  <c r="G80" i="132"/>
  <c r="D79" i="132"/>
  <c r="D80" i="132" s="1"/>
  <c r="D82" i="132" s="1"/>
  <c r="D305" i="132"/>
  <c r="D315" i="132" s="1"/>
  <c r="M399" i="132"/>
  <c r="C332" i="132"/>
  <c r="L400" i="132" s="1"/>
  <c r="C330" i="132"/>
  <c r="C84" i="132"/>
  <c r="C203" i="132"/>
  <c r="D199" i="132"/>
  <c r="D198" i="132"/>
  <c r="E198" i="132" s="1"/>
  <c r="F198" i="132" s="1"/>
  <c r="C202" i="132"/>
  <c r="D342" i="132"/>
  <c r="R397" i="132" s="1"/>
  <c r="D324" i="132"/>
  <c r="L399" i="132"/>
  <c r="C346" i="132"/>
  <c r="E232" i="132"/>
  <c r="D302" i="132"/>
  <c r="D309" i="132" s="1"/>
  <c r="F223" i="132"/>
  <c r="F232" i="132"/>
  <c r="D326" i="132"/>
  <c r="E319" i="132"/>
  <c r="E265" i="132"/>
  <c r="E343" i="132" s="1"/>
  <c r="E270" i="132"/>
  <c r="E344" i="132" s="1"/>
  <c r="D325" i="132"/>
  <c r="E267" i="132"/>
  <c r="E260" i="132"/>
  <c r="E342" i="132" s="1"/>
  <c r="E277" i="132"/>
  <c r="E275" i="132"/>
  <c r="E345" i="132" s="1"/>
  <c r="D331" i="132"/>
  <c r="Q398" i="132" s="1"/>
  <c r="E293" i="132"/>
  <c r="E294" i="132" s="1"/>
  <c r="D304" i="132"/>
  <c r="D313" i="132" s="1"/>
  <c r="E78" i="132"/>
  <c r="D311" i="132"/>
  <c r="E262" i="132"/>
  <c r="D343" i="132"/>
  <c r="D347" i="132" s="1"/>
  <c r="F75" i="132"/>
  <c r="F91" i="132"/>
  <c r="F76" i="132"/>
  <c r="F77" i="132"/>
  <c r="F284" i="132"/>
  <c r="F275" i="132" s="1"/>
  <c r="L397" i="132"/>
  <c r="D71" i="132"/>
  <c r="D96" i="132"/>
  <c r="D99" i="132" s="1"/>
  <c r="D94" i="132"/>
  <c r="D95" i="132"/>
  <c r="K56" i="132"/>
  <c r="K55" i="132"/>
  <c r="E57" i="132"/>
  <c r="F49" i="132"/>
  <c r="D333" i="132"/>
  <c r="Q399" i="132" s="1"/>
  <c r="E223" i="132"/>
  <c r="L224" i="132"/>
  <c r="K50" i="132" s="1"/>
  <c r="AK339" i="132"/>
  <c r="Z339" i="132"/>
  <c r="AB339" i="132" s="1"/>
  <c r="AK340" i="132"/>
  <c r="Z340" i="132"/>
  <c r="AB340" i="132" s="1"/>
  <c r="D403" i="132"/>
  <c r="D402" i="132"/>
  <c r="AK338" i="132"/>
  <c r="E400" i="132"/>
  <c r="E401" i="132" s="1"/>
  <c r="E399" i="132"/>
  <c r="E321" i="132"/>
  <c r="Z338" i="132"/>
  <c r="AB338" i="132" s="1"/>
  <c r="F352" i="132"/>
  <c r="F411" i="132" s="1"/>
  <c r="F350" i="132"/>
  <c r="F395" i="132"/>
  <c r="F396" i="132" s="1"/>
  <c r="F291" i="132"/>
  <c r="F288" i="132"/>
  <c r="F296" i="132" s="1"/>
  <c r="F363" i="132"/>
  <c r="F366" i="132"/>
  <c r="F365" i="132"/>
  <c r="E300" i="132"/>
  <c r="E318" i="132"/>
  <c r="E320" i="132"/>
  <c r="R399" i="132"/>
  <c r="D349" i="132"/>
  <c r="E367" i="132"/>
  <c r="G24" i="130"/>
  <c r="G25" i="130"/>
  <c r="F24" i="130"/>
  <c r="F25" i="130"/>
  <c r="H23" i="130"/>
  <c r="C60" i="130" s="1"/>
  <c r="E81" i="132" l="1"/>
  <c r="E80" i="132"/>
  <c r="C82" i="132"/>
  <c r="E79" i="132"/>
  <c r="C348" i="132"/>
  <c r="C351" i="132" s="1"/>
  <c r="E206" i="132"/>
  <c r="E199" i="132"/>
  <c r="F199" i="132" s="1"/>
  <c r="D203" i="132"/>
  <c r="D202" i="132" s="1"/>
  <c r="D207" i="132" s="1"/>
  <c r="E303" i="132"/>
  <c r="E325" i="132"/>
  <c r="E311" i="132"/>
  <c r="L231" i="132"/>
  <c r="K51" i="132" s="1"/>
  <c r="D330" i="132"/>
  <c r="D346" i="132" s="1"/>
  <c r="E326" i="132"/>
  <c r="D332" i="132"/>
  <c r="Q400" i="132" s="1"/>
  <c r="E302" i="132"/>
  <c r="E309" i="132" s="1"/>
  <c r="E331" i="132"/>
  <c r="L405" i="132" s="1"/>
  <c r="F267" i="132"/>
  <c r="F270" i="132"/>
  <c r="F344" i="132" s="1"/>
  <c r="F262" i="132"/>
  <c r="F300" i="132"/>
  <c r="E324" i="132"/>
  <c r="F272" i="132"/>
  <c r="F265" i="132"/>
  <c r="F325" i="132" s="1"/>
  <c r="C109" i="132"/>
  <c r="D109" i="132"/>
  <c r="F109" i="132"/>
  <c r="F110" i="132" s="1"/>
  <c r="E109" i="132"/>
  <c r="E110" i="132" s="1"/>
  <c r="E327" i="132"/>
  <c r="D175" i="132"/>
  <c r="C131" i="132"/>
  <c r="D131" i="132"/>
  <c r="F131" i="132"/>
  <c r="F132" i="132" s="1"/>
  <c r="E131" i="132"/>
  <c r="E132" i="132" s="1"/>
  <c r="R398" i="132"/>
  <c r="F78" i="132"/>
  <c r="F260" i="132"/>
  <c r="F342" i="132" s="1"/>
  <c r="F277" i="132"/>
  <c r="F293" i="132"/>
  <c r="F294" i="132" s="1"/>
  <c r="D84" i="132"/>
  <c r="D85" i="132" s="1"/>
  <c r="E87" i="132"/>
  <c r="E90" i="132" s="1"/>
  <c r="E93" i="132" s="1"/>
  <c r="E113" i="132"/>
  <c r="E135" i="132"/>
  <c r="E157" i="132"/>
  <c r="F57" i="132"/>
  <c r="E58" i="132"/>
  <c r="E248" i="132"/>
  <c r="E249" i="132" s="1"/>
  <c r="E251" i="132" s="1"/>
  <c r="E253" i="132" s="1"/>
  <c r="F367" i="132"/>
  <c r="F368" i="132" s="1"/>
  <c r="F320" i="132"/>
  <c r="F318" i="132"/>
  <c r="F319" i="132"/>
  <c r="F321" i="132"/>
  <c r="F327" i="132" s="1"/>
  <c r="AF340" i="132"/>
  <c r="AE340" i="132"/>
  <c r="AD340" i="132"/>
  <c r="AC340" i="132"/>
  <c r="AE338" i="132"/>
  <c r="AC338" i="132"/>
  <c r="AF338" i="132"/>
  <c r="AD338" i="132"/>
  <c r="M404" i="132"/>
  <c r="E305" i="132"/>
  <c r="E315" i="132" s="1"/>
  <c r="E333" i="132" s="1"/>
  <c r="L406" i="132" s="1"/>
  <c r="C62" i="132"/>
  <c r="F345" i="132"/>
  <c r="F305" i="132"/>
  <c r="AF339" i="132"/>
  <c r="AE339" i="132"/>
  <c r="AD339" i="132"/>
  <c r="AC339" i="132"/>
  <c r="E304" i="132"/>
  <c r="E313" i="132" s="1"/>
  <c r="M406" i="132"/>
  <c r="E368" i="132"/>
  <c r="M405" i="132"/>
  <c r="E347" i="132"/>
  <c r="F400" i="132"/>
  <c r="F401" i="132" s="1"/>
  <c r="F399" i="132"/>
  <c r="M407" i="132"/>
  <c r="E402" i="132"/>
  <c r="E403" i="132"/>
  <c r="F343" i="132"/>
  <c r="G23" i="130"/>
  <c r="F23" i="130"/>
  <c r="G337" i="130"/>
  <c r="F81" i="132" l="1"/>
  <c r="F79" i="132"/>
  <c r="F80" i="132" s="1"/>
  <c r="E72" i="132"/>
  <c r="F206" i="132"/>
  <c r="F248" i="132"/>
  <c r="D348" i="132"/>
  <c r="F304" i="132"/>
  <c r="F313" i="132" s="1"/>
  <c r="D351" i="132"/>
  <c r="D354" i="132" s="1"/>
  <c r="D397" i="132" s="1"/>
  <c r="E203" i="132"/>
  <c r="E202" i="132" s="1"/>
  <c r="F302" i="132"/>
  <c r="F309" i="132" s="1"/>
  <c r="H353" i="132"/>
  <c r="C354" i="132"/>
  <c r="C356" i="132"/>
  <c r="N356" i="132" s="1"/>
  <c r="Q397" i="132"/>
  <c r="F303" i="132"/>
  <c r="F311" i="132"/>
  <c r="F331" i="132"/>
  <c r="Q405" i="132" s="1"/>
  <c r="E330" i="132"/>
  <c r="L404" i="132" s="1"/>
  <c r="E332" i="132"/>
  <c r="L407" i="132" s="1"/>
  <c r="F326" i="132"/>
  <c r="F315" i="132"/>
  <c r="C177" i="132"/>
  <c r="C181" i="132"/>
  <c r="C178" i="132" s="1"/>
  <c r="D110" i="132"/>
  <c r="D114" i="132" s="1"/>
  <c r="D115" i="132"/>
  <c r="D112" i="132" s="1"/>
  <c r="C110" i="132"/>
  <c r="C114" i="132" s="1"/>
  <c r="C115" i="132"/>
  <c r="C112" i="132" s="1"/>
  <c r="D132" i="132"/>
  <c r="D136" i="132" s="1"/>
  <c r="D137" i="132"/>
  <c r="D134" i="132" s="1"/>
  <c r="C132" i="132"/>
  <c r="C136" i="132" s="1"/>
  <c r="C137" i="132"/>
  <c r="C134" i="132" s="1"/>
  <c r="D176" i="132"/>
  <c r="D180" i="132" s="1"/>
  <c r="D181" i="132"/>
  <c r="D178" i="132" s="1"/>
  <c r="F324" i="132"/>
  <c r="E61" i="132"/>
  <c r="E62" i="132" s="1"/>
  <c r="F87" i="132"/>
  <c r="F90" i="132" s="1"/>
  <c r="F93" i="132" s="1"/>
  <c r="E70" i="132"/>
  <c r="E115" i="132"/>
  <c r="E112" i="132" s="1"/>
  <c r="E136" i="132"/>
  <c r="E133" i="132" s="1"/>
  <c r="F157" i="132"/>
  <c r="E114" i="132"/>
  <c r="E111" i="132" s="1"/>
  <c r="F135" i="132"/>
  <c r="F136" i="132" s="1"/>
  <c r="E71" i="132"/>
  <c r="E137" i="132"/>
  <c r="E134" i="132" s="1"/>
  <c r="E96" i="132"/>
  <c r="E99" i="132" s="1"/>
  <c r="E95" i="132"/>
  <c r="E94" i="132"/>
  <c r="L368" i="132"/>
  <c r="K52" i="132" s="1"/>
  <c r="I52" i="132" s="1"/>
  <c r="F58" i="132"/>
  <c r="F113" i="132"/>
  <c r="F249" i="132"/>
  <c r="F251" i="132" s="1"/>
  <c r="F253" i="132" s="1"/>
  <c r="F333" i="132"/>
  <c r="Q406" i="132" s="1"/>
  <c r="R404" i="132"/>
  <c r="R407" i="132"/>
  <c r="F402" i="132"/>
  <c r="F403" i="132"/>
  <c r="R405" i="132"/>
  <c r="F347" i="132"/>
  <c r="C85" i="132"/>
  <c r="R406" i="132"/>
  <c r="E349" i="132"/>
  <c r="L35" i="130"/>
  <c r="F203" i="132" l="1"/>
  <c r="F202" i="132" s="1"/>
  <c r="F72" i="132"/>
  <c r="D190" i="132"/>
  <c r="D191" i="132" s="1"/>
  <c r="D184" i="132"/>
  <c r="D189" i="132" s="1"/>
  <c r="F332" i="132"/>
  <c r="Q407" i="132" s="1"/>
  <c r="F330" i="132"/>
  <c r="Q404" i="132" s="1"/>
  <c r="H352" i="132"/>
  <c r="C357" i="132"/>
  <c r="C397" i="132"/>
  <c r="C398" i="132" s="1"/>
  <c r="E348" i="132"/>
  <c r="E346" i="132"/>
  <c r="D111" i="132"/>
  <c r="D120" i="132"/>
  <c r="D119" i="132"/>
  <c r="D118" i="132"/>
  <c r="D123" i="132" s="1"/>
  <c r="D121" i="132"/>
  <c r="C111" i="132"/>
  <c r="C121" i="132"/>
  <c r="C120" i="132"/>
  <c r="C118" i="132"/>
  <c r="C123" i="132" s="1"/>
  <c r="C119" i="132"/>
  <c r="C187" i="132"/>
  <c r="C185" i="132"/>
  <c r="C186" i="132"/>
  <c r="D177" i="132"/>
  <c r="D187" i="132"/>
  <c r="D186" i="132"/>
  <c r="D185" i="132"/>
  <c r="C133" i="132"/>
  <c r="C143" i="132"/>
  <c r="C141" i="132"/>
  <c r="C140" i="132"/>
  <c r="C145" i="132" s="1"/>
  <c r="C142" i="132"/>
  <c r="F153" i="132"/>
  <c r="F154" i="132" s="1"/>
  <c r="F158" i="132" s="1"/>
  <c r="E153" i="132"/>
  <c r="D153" i="132"/>
  <c r="C153" i="132"/>
  <c r="E175" i="132"/>
  <c r="D133" i="132"/>
  <c r="D143" i="132"/>
  <c r="D142" i="132"/>
  <c r="D141" i="132"/>
  <c r="D140" i="132"/>
  <c r="D145" i="132" s="1"/>
  <c r="E141" i="132"/>
  <c r="F175" i="132"/>
  <c r="E82" i="132"/>
  <c r="F71" i="132"/>
  <c r="D356" i="132"/>
  <c r="O356" i="132" s="1"/>
  <c r="F137" i="132"/>
  <c r="F134" i="132" s="1"/>
  <c r="E84" i="132"/>
  <c r="E85" i="132" s="1"/>
  <c r="D357" i="132"/>
  <c r="E142" i="132"/>
  <c r="E119" i="132"/>
  <c r="E121" i="132"/>
  <c r="E118" i="132"/>
  <c r="E123" i="132" s="1"/>
  <c r="E120" i="132"/>
  <c r="F96" i="132"/>
  <c r="F99" i="132" s="1"/>
  <c r="F94" i="132"/>
  <c r="F95" i="132"/>
  <c r="E140" i="132"/>
  <c r="E145" i="132" s="1"/>
  <c r="E143" i="132"/>
  <c r="F114" i="132"/>
  <c r="F61" i="132"/>
  <c r="F62" i="132" s="1"/>
  <c r="F70" i="132"/>
  <c r="F115" i="132"/>
  <c r="F112" i="132" s="1"/>
  <c r="F133" i="132"/>
  <c r="F349" i="132"/>
  <c r="D409" i="132"/>
  <c r="P400" i="132" s="1"/>
  <c r="D398" i="132"/>
  <c r="D408" i="132"/>
  <c r="P397" i="132" s="1"/>
  <c r="G233" i="130"/>
  <c r="L37" i="130"/>
  <c r="C408" i="132" l="1"/>
  <c r="K397" i="132" s="1"/>
  <c r="C189" i="132"/>
  <c r="I346" i="132"/>
  <c r="M46" i="132" s="1"/>
  <c r="I347" i="132"/>
  <c r="M47" i="132" s="1"/>
  <c r="F348" i="132"/>
  <c r="F346" i="132"/>
  <c r="F159" i="132"/>
  <c r="F156" i="132" s="1"/>
  <c r="C409" i="132"/>
  <c r="K400" i="132" s="1"/>
  <c r="E351" i="132"/>
  <c r="E354" i="132" s="1"/>
  <c r="E357" i="132" s="1"/>
  <c r="C154" i="132"/>
  <c r="C158" i="132" s="1"/>
  <c r="C159" i="132"/>
  <c r="C156" i="132" s="1"/>
  <c r="D154" i="132"/>
  <c r="D158" i="132" s="1"/>
  <c r="D159" i="132"/>
  <c r="D156" i="132" s="1"/>
  <c r="E154" i="132"/>
  <c r="E158" i="132" s="1"/>
  <c r="E159" i="132"/>
  <c r="E156" i="132" s="1"/>
  <c r="E176" i="132"/>
  <c r="E180" i="132" s="1"/>
  <c r="E181" i="132"/>
  <c r="E178" i="132" s="1"/>
  <c r="F176" i="132"/>
  <c r="F180" i="132" s="1"/>
  <c r="F181" i="132"/>
  <c r="F178" i="132" s="1"/>
  <c r="F84" i="132"/>
  <c r="J84" i="132" s="1"/>
  <c r="K47" i="132" s="1"/>
  <c r="I47" i="132" s="1"/>
  <c r="F82" i="132"/>
  <c r="F141" i="132"/>
  <c r="F140" i="132"/>
  <c r="F145" i="132" s="1"/>
  <c r="F142" i="132"/>
  <c r="F143" i="132"/>
  <c r="F155" i="132"/>
  <c r="J96" i="132"/>
  <c r="K48" i="132" s="1"/>
  <c r="I48" i="132" s="1"/>
  <c r="F121" i="132"/>
  <c r="F111" i="132"/>
  <c r="F119" i="132"/>
  <c r="F118" i="132"/>
  <c r="F123" i="132" s="1"/>
  <c r="J61" i="132"/>
  <c r="K46" i="132" s="1"/>
  <c r="I46" i="132" s="1"/>
  <c r="F120" i="132"/>
  <c r="C410" i="132"/>
  <c r="J399" i="132" s="1"/>
  <c r="C404" i="132"/>
  <c r="K398" i="132" s="1"/>
  <c r="C405" i="132"/>
  <c r="D410" i="132"/>
  <c r="O399" i="132" s="1"/>
  <c r="D405" i="132"/>
  <c r="D404" i="132"/>
  <c r="P398" i="132" s="1"/>
  <c r="O348" i="130"/>
  <c r="O344" i="130"/>
  <c r="O345" i="130" s="1"/>
  <c r="E190" i="132" l="1"/>
  <c r="E191" i="132" s="1"/>
  <c r="F177" i="132"/>
  <c r="F190" i="132"/>
  <c r="F191" i="132" s="1"/>
  <c r="F351" i="132"/>
  <c r="F356" i="132" s="1"/>
  <c r="Q356" i="132" s="1"/>
  <c r="F163" i="132"/>
  <c r="E356" i="132"/>
  <c r="P356" i="132" s="1"/>
  <c r="F164" i="132"/>
  <c r="F165" i="132"/>
  <c r="F162" i="132"/>
  <c r="F167" i="132" s="1"/>
  <c r="E397" i="132"/>
  <c r="E408" i="132" s="1"/>
  <c r="K404" i="132" s="1"/>
  <c r="E177" i="132"/>
  <c r="E184" i="132"/>
  <c r="E189" i="132" s="1"/>
  <c r="E186" i="132"/>
  <c r="E187" i="132"/>
  <c r="E185" i="132"/>
  <c r="C155" i="132"/>
  <c r="C163" i="132"/>
  <c r="C165" i="132"/>
  <c r="C162" i="132"/>
  <c r="C167" i="132" s="1"/>
  <c r="C164" i="132"/>
  <c r="F187" i="132"/>
  <c r="F185" i="132"/>
  <c r="E155" i="132"/>
  <c r="E164" i="132"/>
  <c r="E162" i="132"/>
  <c r="E167" i="132" s="1"/>
  <c r="E163" i="132"/>
  <c r="E165" i="132"/>
  <c r="F186" i="132"/>
  <c r="F184" i="132"/>
  <c r="F189" i="132" s="1"/>
  <c r="D155" i="132"/>
  <c r="D164" i="132"/>
  <c r="D163" i="132"/>
  <c r="D162" i="132"/>
  <c r="D167" i="132" s="1"/>
  <c r="D165" i="132"/>
  <c r="F85" i="132"/>
  <c r="J143" i="132"/>
  <c r="F354" i="132"/>
  <c r="F357" i="132" s="1"/>
  <c r="J121" i="132"/>
  <c r="O398" i="132"/>
  <c r="D406" i="132"/>
  <c r="C406" i="132"/>
  <c r="J398" i="132"/>
  <c r="G54" i="131"/>
  <c r="H54" i="131"/>
  <c r="I54" i="131"/>
  <c r="F54" i="131"/>
  <c r="C232" i="130"/>
  <c r="E398" i="132" l="1"/>
  <c r="E404" i="132" s="1"/>
  <c r="K405" i="132" s="1"/>
  <c r="E409" i="132"/>
  <c r="K407" i="132" s="1"/>
  <c r="J165" i="132"/>
  <c r="J187" i="132"/>
  <c r="F397" i="132"/>
  <c r="F398" i="132" s="1"/>
  <c r="F30" i="131"/>
  <c r="E405" i="132" l="1"/>
  <c r="J405" i="132" s="1"/>
  <c r="E410" i="132"/>
  <c r="J406" i="132" s="1"/>
  <c r="K49" i="132"/>
  <c r="I49" i="132" s="1"/>
  <c r="J194" i="132"/>
  <c r="J195" i="132" s="1"/>
  <c r="C200" i="132" s="1"/>
  <c r="C207" i="132" s="1"/>
  <c r="F409" i="132"/>
  <c r="P407" i="132" s="1"/>
  <c r="F408" i="132"/>
  <c r="P404" i="132" s="1"/>
  <c r="F410" i="132"/>
  <c r="O406" i="132" s="1"/>
  <c r="F404" i="132"/>
  <c r="P405" i="132" s="1"/>
  <c r="F405" i="132"/>
  <c r="J226" i="130"/>
  <c r="E406" i="132" l="1"/>
  <c r="D201" i="132"/>
  <c r="C208" i="132"/>
  <c r="C205" i="132" s="1"/>
  <c r="C204" i="132"/>
  <c r="O405" i="132"/>
  <c r="F406" i="132"/>
  <c r="F22" i="131"/>
  <c r="F24" i="131"/>
  <c r="F28" i="131" s="1"/>
  <c r="F37" i="131" s="1"/>
  <c r="F45" i="131" s="1"/>
  <c r="C211" i="132" l="1"/>
  <c r="C239" i="132" s="1"/>
  <c r="C240" i="132" s="1"/>
  <c r="C242" i="132" s="1"/>
  <c r="E200" i="132"/>
  <c r="E201" i="132"/>
  <c r="F201" i="132"/>
  <c r="D204" i="132"/>
  <c r="C214" i="132"/>
  <c r="C215" i="132" s="1"/>
  <c r="C212" i="132"/>
  <c r="C213" i="132"/>
  <c r="D208" i="132"/>
  <c r="F32" i="131"/>
  <c r="F41" i="131" s="1"/>
  <c r="C224" i="132" l="1"/>
  <c r="C229" i="132" s="1"/>
  <c r="C222" i="132"/>
  <c r="D211" i="132"/>
  <c r="D239" i="132" s="1"/>
  <c r="D240" i="132" s="1"/>
  <c r="D242" i="132" s="1"/>
  <c r="D244" i="132" s="1"/>
  <c r="D214" i="132"/>
  <c r="D205" i="132"/>
  <c r="C244" i="132"/>
  <c r="C216" i="132"/>
  <c r="E208" i="132"/>
  <c r="E205" i="132" s="1"/>
  <c r="F200" i="132"/>
  <c r="E207" i="132"/>
  <c r="E204" i="132" s="1"/>
  <c r="R211" i="132"/>
  <c r="K211" i="132" s="1"/>
  <c r="D213" i="132"/>
  <c r="D212" i="132"/>
  <c r="B336" i="130"/>
  <c r="F4" i="131"/>
  <c r="D215" i="132" l="1"/>
  <c r="C218" i="132"/>
  <c r="C231" i="132"/>
  <c r="C230" i="132"/>
  <c r="E214" i="132"/>
  <c r="E212" i="132"/>
  <c r="E213" i="132"/>
  <c r="E211" i="132"/>
  <c r="E239" i="132" s="1"/>
  <c r="E240" i="132" s="1"/>
  <c r="E242" i="132" s="1"/>
  <c r="L211" i="132"/>
  <c r="F208" i="132"/>
  <c r="F205" i="132" s="1"/>
  <c r="F207" i="132"/>
  <c r="F204" i="132" s="1"/>
  <c r="D216" i="132"/>
  <c r="D231" i="132" s="1"/>
  <c r="C215" i="130"/>
  <c r="C137" i="130"/>
  <c r="C136" i="130"/>
  <c r="C51" i="130"/>
  <c r="C50" i="130"/>
  <c r="F66" i="131" s="1"/>
  <c r="C123" i="130"/>
  <c r="C233" i="132" l="1"/>
  <c r="C236" i="132"/>
  <c r="C235" i="132"/>
  <c r="D233" i="132"/>
  <c r="D235" i="132"/>
  <c r="D224" i="132"/>
  <c r="D230" i="132" s="1"/>
  <c r="D222" i="132"/>
  <c r="E216" i="132"/>
  <c r="E231" i="132" s="1"/>
  <c r="E215" i="132"/>
  <c r="F213" i="132"/>
  <c r="F214" i="132"/>
  <c r="F211" i="132"/>
  <c r="F212" i="132"/>
  <c r="D236" i="132"/>
  <c r="E244" i="132"/>
  <c r="C208" i="130"/>
  <c r="E236" i="132" l="1"/>
  <c r="E235" i="132"/>
  <c r="E224" i="132"/>
  <c r="E230" i="132" s="1"/>
  <c r="E222" i="132"/>
  <c r="D229" i="132"/>
  <c r="E233" i="132"/>
  <c r="F215" i="132"/>
  <c r="F216" i="132"/>
  <c r="F231" i="132" s="1"/>
  <c r="F239" i="132"/>
  <c r="F240" i="132" s="1"/>
  <c r="F242" i="132" s="1"/>
  <c r="F244" i="132" s="1"/>
  <c r="C8" i="130"/>
  <c r="J231" i="132" l="1"/>
  <c r="L51" i="132" s="1"/>
  <c r="I51" i="132" s="1"/>
  <c r="F235" i="132"/>
  <c r="F224" i="132"/>
  <c r="F222" i="132"/>
  <c r="E229" i="132"/>
  <c r="J43" i="132"/>
  <c r="K43" i="132" s="1"/>
  <c r="J42" i="132"/>
  <c r="K42" i="132" s="1"/>
  <c r="J40" i="132"/>
  <c r="K40" i="132" s="1"/>
  <c r="F233" i="132"/>
  <c r="F236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30" i="132" l="1"/>
  <c r="F229" i="132"/>
  <c r="J224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1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6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<sst xmlns="http://schemas.openxmlformats.org/spreadsheetml/2006/main" count="1811" uniqueCount="483">
  <si>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</si>
  <si>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</si>
  <si>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</si>
  <si>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</si>
  <si>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</si>
  <si>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</si>
  <si>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</si>
  <si>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</si>
  <si>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</si>
  <si>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</si>
  <si>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</si>
  <si>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</si>
  <si>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</si>
  <si>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</si>
  <si>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</si>
  <si>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</si>
  <si>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</si>
  <si>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</si>
  <si>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</si>
  <si>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</si>
  <si>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</si>
  <si>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</si>
  <si>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</si>
  <si>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</si>
  <si>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</si>
  <si>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</si>
  <si>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</si>
  <si>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</si>
  <si>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</si>
  <si>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</si>
  <si>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</si>
  <si>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</si>
  <si>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</si>
  <si>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</si>
  <si>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</si>
  <si>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</si>
  <si>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</si>
  <si>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</si>
  <si>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</si>
  <si>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</si>
  <si>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</si>
  <si>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</si>
  <si>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</si>
  <si>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</si>
  <si>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</si>
  <si>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</si>
  <si>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</si>
  <si>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</si>
  <si>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</si>
  <si>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</si>
  <si>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</si>
  <si>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</si>
  <si>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</si>
  <si>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</si>
  <si>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</si>
  <si>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</si>
  <si>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</si>
  <si>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</si>
  <si>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</si>
  <si>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</si>
  <si>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</si>
  <si>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</si>
  <si>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</si>
  <si>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</si>
  <si>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</si>
  <si>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</si>
  <si>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</si>
  <si>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</si>
  <si>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</si>
  <si>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</si>
  <si>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</si>
  <si>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</si>
  <si>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</si>
  <si>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</si>
  <si>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</si>
  <si>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</si>
  <si>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</si>
  <si>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</si>
  <si>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</si>
  <si>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</si>
  <si>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</si>
  <si>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</si>
  <si>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</si>
  <si>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</si>
  <si>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</si>
  <si>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</si>
  <si>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</si>
  <si>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</si>
  <si>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</si>
  <si>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</si>
  <si>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</si>
  <si>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</si>
  <si>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</si>
  <si>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</si>
  <si>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</si>
  <si>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</si>
  <si>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</si>
  <si>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</si>
  <si>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</si>
  <si>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</si>
  <si>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</si>
  <si>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</si>
  <si>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</si>
  <si>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</si>
  <si>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</si>
  <si>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</si>
  <si>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</si>
  <si>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</si>
  <si>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</si>
  <si>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</si>
  <si>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</si>
  <si>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</si>
  <si>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</si>
  <si>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</si>
  <si>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</si>
  <si>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</si>
  <si>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</si>
  <si>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</si>
  <si>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</si>
  <si>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</si>
  <si>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</si>
  <si>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</si>
  <si>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</si>
  <si>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</si>
  <si>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</si>
  <si>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</si>
  <si>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</si>
  <si>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</si>
  <si>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</si>
  <si>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</si>
  <si>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</si>
  <si>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</si>
  <si>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</si>
  <si>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</si>
  <si>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</si>
  <si>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</si>
  <si>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</si>
  <si>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</si>
  <si>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</si>
  <si>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</si>
  <si>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</si>
  <si>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</si>
  <si>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</si>
  <si>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</si>
  <si>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</si>
  <si>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</si>
  <si>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</si>
  <si>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</si>
  <si>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</si>
  <si>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</si>
  <si>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</si>
  <si>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</si>
  <si>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</si>
  <si>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</si>
  <si>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</si>
  <si>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</si>
  <si>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</si>
  <si>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</si>
  <si>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</si>
  <si>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</si>
  <si>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</si>
  <si>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</si>
  <si>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</si>
  <si>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</si>
  <si>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</si>
  <si>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</si>
  <si>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</si>
  <si>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</si>
  <si>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</si>
  <si>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</si>
  <si>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</si>
  <si>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</si>
  <si>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</si>
  <si>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</si>
  <si>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</si>
  <si>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</si>
  <si>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</si>
  <si>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</si>
  <si>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</si>
  <si>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</si>
  <si>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</si>
  <si>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</si>
  <si>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</si>
  <si>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</si>
  <si>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</si>
  <si>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</si>
  <si>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</si>
  <si>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</si>
  <si>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</si>
  <si>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</si>
  <si>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</si>
  <si>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</si>
  <si>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</si>
  <si>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</si>
  <si>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</si>
  <si>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</si>
  <si>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</si>
  <si>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</si>
  <si>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</si>
  <si>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</si>
  <si>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</si>
  <si>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</si>
  <si>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</si>
  <si>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</si>
  <si>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</si>
  <si>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</si>
  <si>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</si>
  <si>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</si>
  <si>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</si>
  <si>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</si>
  <si>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</si>
  <si>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</si>
  <si>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</si>
  <si>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</si>
  <si>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</si>
  <si>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</si>
  <si>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</si>
  <si>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</si>
  <si>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</si>
  <si>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</si>
  <si>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</si>
  <si>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</si>
  <si>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</si>
  <si>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</si>
  <si>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</si>
  <si>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</si>
  <si>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</si>
  <si>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</si>
  <si>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</si>
  <si>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</si>
  <si>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</si>
  <si>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</si>
  <si>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</si>
  <si>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</si>
  <si>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</si>
  <si>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</si>
  <si>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</si>
  <si>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</si>
  <si>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</si>
  <si>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</si>
  <si>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</si>
  <si>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</si>
  <si>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</si>
  <si>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</si>
  <si>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</si>
  <si>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</si>
  <si>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</si>
  <si>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</si>
  <si>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</si>
  <si>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</si>
  <si>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</si>
  <si>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</si>
  <si>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</si>
  <si>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</si>
  <si>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</si>
  <si>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</si>
  <si>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</si>
  <si>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</si>
  <si>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</si>
  <si>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</si>
  <si>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</si>
  <si>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</si>
  <si>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</si>
  <si>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</si>
  <si>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</si>
  <si>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</si>
  <si>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</si>
  <si>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</si>
  <si>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</si>
  <si>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</si>
  <si>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</si>
  <si>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</si>
  <si>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</si>
  <si>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</si>
  <si>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</si>
  <si>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</si>
  <si>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</si>
  <si>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</si>
  <si>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</si>
  <si>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</si>
  <si>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</si>
  <si>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</si>
  <si>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</si>
  <si>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</si>
  <si>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</si>
  <si>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</si>
  <si>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</si>
  <si>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</si>
  <si>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</si>
  <si>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</si>
  <si>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</si>
  <si>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</si>
  <si>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</si>
  <si>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</si>
  <si>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</si>
  <si>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</si>
  <si>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</si>
  <si>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</si>
  <si>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</si>
  <si>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</si>
  <si>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</si>
  <si>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</si>
  <si>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</si>
  <si>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</si>
  <si>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</si>
  <si>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</si>
  <si>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</si>
  <si>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</si>
  <si>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</si>
  <si>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</si>
  <si>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</si>
  <si>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</si>
  <si>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</si>
  <si>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</si>
  <si>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</si>
  <si>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</si>
  <si>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</si>
  <si>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</si>
  <si>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</si>
  <si>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</si>
  <si>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</si>
  <si>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</si>
  <si>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</si>
  <si>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</si>
  <si>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</si>
  <si>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</si>
  <si>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</si>
  <si>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</si>
  <si>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</si>
  <si>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</si>
  <si>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</si>
  <si>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</si>
  <si>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</si>
  <si>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</si>
  <si>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</si>
  <si>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</si>
  <si>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</si>
  <si>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</si>
  <si>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</si>
  <si>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</si>
  <si>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</si>
  <si>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</si>
  <si>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</si>
  <si>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</si>
  <si>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</si>
  <si>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</si>
  <si>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</si>
  <si>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</si>
  <si>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</si>
  <si>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</si>
  <si>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</si>
  <si>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</si>
  <si>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</si>
  <si>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</si>
  <si>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</si>
  <si>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</si>
  <si>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</si>
  <si>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</si>
  <si>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</si>
  <si>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</si>
  <si>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</si>
  <si>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</si>
  <si>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</si>
  <si>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</si>
  <si>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</si>
  <si>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</si>
  <si>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</si>
  <si>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</si>
  <si>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</si>
  <si>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</si>
  <si>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</si>
  <si>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</si>
  <si>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</si>
  <si>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</si>
  <si>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</si>
  <si>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</si>
  <si>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</si>
  <si>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</si>
  <si>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</si>
  <si>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</si>
  <si>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</si>
  <si>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</si>
  <si>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</si>
  <si>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</si>
  <si>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</si>
  <si>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</si>
  <si>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</si>
  <si>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</si>
  <si>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</si>
  <si>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</si>
  <si>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</si>
  <si>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</si>
  <si>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</si>
  <si>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</si>
  <si>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</si>
  <si>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</si>
  <si>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</si>
  <si>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</si>
  <si>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</si>
  <si>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</si>
  <si>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</si>
  <si>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</si>
  <si>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</si>
  <si>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</si>
  <si>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</si>
  <si>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</si>
  <si>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</si>
  <si>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</si>
  <si>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</si>
  <si>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</si>
  <si>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</si>
  <si>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</si>
  <si>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</si>
  <si>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</si>
  <si>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</si>
  <si>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</si>
  <si>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</si>
  <si>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</si>
  <si>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</si>
  <si>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</si>
  <si>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</si>
  <si>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</si>
  <si>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</si>
  <si>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</si>
  <si>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</si>
  <si>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</si>
  <si>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</si>
  <si>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</si>
  <si>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</si>
  <si>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</si>
  <si>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</si>
  <si>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</si>
  <si>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</si>
  <si>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</si>
  <si>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</si>
  <si>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</si>
  <si>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</si>
  <si>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</si>
  <si>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</si>
  <si>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</si>
  <si>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</si>
  <si>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</si>
  <si>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</si>
  <si>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</si>
  <si>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</si>
  <si>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</si>
  <si>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</si>
  <si>
    <t>PESO SUELO DE RELLENO</t>
  </si>
  <si>
    <t>FS SIN CONSIDERAR EL SUELO</t>
  </si>
  <si>
    <t>SIGMA A EVALUAR</t>
  </si>
  <si>
    <t>z1.volumen_concr()</t>
  </si>
  <si>
    <t>z1.volumen_excavacion()</t>
  </si>
  <si>
    <t>z1.volumen_relleno()</t>
  </si>
  <si>
    <t>z1.volumen_cono()</t>
  </si>
  <si>
    <t>z1.volumen_cono()*input_['Gamma_suelo']</t>
  </si>
  <si>
    <t>z1.volumen_relleno()*inputOP_['Gamma_suelo_rell']</t>
  </si>
  <si>
    <t>che._peso_concreto</t>
  </si>
  <si>
    <t>che._ort</t>
  </si>
  <si>
    <t>che.FS_arranc()</t>
  </si>
  <si>
    <t>che.FS_arranc_Boole()</t>
  </si>
  <si>
    <t>che._empuje_pasivo_ped</t>
  </si>
  <si>
    <t>che._empuje_pasivo_losa</t>
  </si>
  <si>
    <t>che._Mestab</t>
  </si>
  <si>
    <t>che._Mvolc</t>
  </si>
  <si>
    <t>che._ort_RT</t>
  </si>
  <si>
    <t>No considera las reacciones a nivel de fundación, e impresición en el empuje pasivo, además, solo considera una porción no todo el desarrollo</t>
  </si>
  <si>
    <t>Fuerzas estabilizadoras</t>
  </si>
  <si>
    <t>che.FS_vuelco()</t>
  </si>
  <si>
    <t>che.FS_vuelco_Boole()</t>
  </si>
  <si>
    <t>che.FS_deslizamiento()</t>
  </si>
  <si>
    <t>che.FS_deslizamiento_Boole()</t>
  </si>
  <si>
    <t>che.FS_carga_admisible_suelo()</t>
  </si>
  <si>
    <t>che.FS_carga_admisible_suelo_Boole()</t>
  </si>
  <si>
    <t>che._esfuerzo_sigma_disenho()</t>
  </si>
  <si>
    <t>Hace falta descontar el peso del suelo</t>
  </si>
  <si>
    <t>che.FS_punzonamiento()</t>
  </si>
  <si>
    <t>che.FS_punzonamiento_Boole()</t>
  </si>
  <si>
    <t>che.FS_cortante()</t>
  </si>
  <si>
    <t>che.FS_cortante_Boole()</t>
  </si>
  <si>
    <t>Ace._Mu_sup</t>
  </si>
  <si>
    <t>Ace._Mu_inf</t>
  </si>
  <si>
    <t>Ace._Acero_min_losa_sup</t>
  </si>
  <si>
    <t>Ace._Acero_min_losa_inf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</si>
</sst>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&quot;$&quot;\ * #,##0.00_-;\-&quot;$&quot;\ * #,##0.00_-;_-&quot;$&quot;\ * &quot;-&quot;??_-;_-@_-"/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  <numFmt numFmtId="172" formatCode="_-&quot;$&quot;\ * #,##0_-;\-&quot;$&quot;\ * #,##0_-;_-&quot;$&quot;\ * &quot;-&quot;??_-;_-@_-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  <font>
      <sz val="7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4" fillId="12" borderId="0" applyNumberFormat="0" applyBorder="0" applyAlignment="0" applyProtection="0"/>
    <xf numFmtId="44" fontId="1" fillId="0" borderId="0" applyFont="0" applyFill="0" applyBorder="0" applyAlignment="0" applyProtection="0"/>
  </cellStyleXfs>
  <cellXfs count="445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1" fillId="11" borderId="0" xfId="0" applyFont="1" applyFill="1"/>
    <xf numFmtId="0" fontId="51" fillId="11" borderId="0" xfId="0" applyFont="1" applyFill="1" applyAlignment="1">
      <alignment horizontal="center"/>
    </xf>
    <xf numFmtId="0" fontId="52" fillId="11" borderId="70" xfId="0" applyFont="1" applyFill="1" applyBorder="1" applyAlignment="1">
      <alignment horizontal="center" vertical="center"/>
    </xf>
    <xf numFmtId="0" fontId="52" fillId="11" borderId="71" xfId="0" applyFont="1" applyFill="1" applyBorder="1" applyAlignment="1">
      <alignment horizontal="center" vertical="center"/>
    </xf>
    <xf numFmtId="0" fontId="52" fillId="11" borderId="72" xfId="0" applyFont="1" applyFill="1" applyBorder="1" applyAlignment="1">
      <alignment horizontal="center" vertical="center"/>
    </xf>
    <xf numFmtId="171" fontId="51" fillId="11" borderId="73" xfId="0" applyNumberFormat="1" applyFont="1" applyFill="1" applyBorder="1" applyAlignment="1">
      <alignment horizontal="center" vertical="center"/>
    </xf>
    <xf numFmtId="2" fontId="51" fillId="11" borderId="16" xfId="0" applyNumberFormat="1" applyFont="1" applyFill="1" applyBorder="1" applyAlignment="1">
      <alignment horizontal="center" vertical="center"/>
    </xf>
    <xf numFmtId="0" fontId="51" fillId="11" borderId="16" xfId="0" applyFont="1" applyFill="1" applyBorder="1" applyAlignment="1">
      <alignment horizontal="center" vertical="center"/>
    </xf>
    <xf numFmtId="2" fontId="51" fillId="11" borderId="55" xfId="0" applyNumberFormat="1" applyFont="1" applyFill="1" applyBorder="1" applyAlignment="1">
      <alignment horizontal="center" vertical="center"/>
    </xf>
    <xf numFmtId="171" fontId="51" fillId="11" borderId="2" xfId="0" applyNumberFormat="1" applyFont="1" applyFill="1" applyBorder="1" applyAlignment="1">
      <alignment horizontal="center" vertical="center"/>
    </xf>
    <xf numFmtId="2" fontId="51" fillId="11" borderId="1" xfId="0" applyNumberFormat="1" applyFont="1" applyFill="1" applyBorder="1" applyAlignment="1">
      <alignment horizontal="center" vertical="center"/>
    </xf>
    <xf numFmtId="0" fontId="51" fillId="11" borderId="1" xfId="0" applyFont="1" applyFill="1" applyBorder="1" applyAlignment="1">
      <alignment horizontal="center" vertical="center"/>
    </xf>
    <xf numFmtId="2" fontId="51" fillId="11" borderId="3" xfId="0" applyNumberFormat="1" applyFont="1" applyFill="1" applyBorder="1" applyAlignment="1">
      <alignment horizontal="center" vertical="center"/>
    </xf>
    <xf numFmtId="171" fontId="51" fillId="11" borderId="4" xfId="0" applyNumberFormat="1" applyFont="1" applyFill="1" applyBorder="1" applyAlignment="1">
      <alignment horizontal="center" vertical="center"/>
    </xf>
    <xf numFmtId="2" fontId="51" fillId="11" borderId="5" xfId="0" applyNumberFormat="1" applyFont="1" applyFill="1" applyBorder="1" applyAlignment="1">
      <alignment horizontal="center" vertical="center"/>
    </xf>
    <xf numFmtId="0" fontId="51" fillId="11" borderId="5" xfId="0" applyFont="1" applyFill="1" applyBorder="1" applyAlignment="1">
      <alignment horizontal="center" vertical="center"/>
    </xf>
    <xf numFmtId="2" fontId="51" fillId="11" borderId="6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4" fillId="12" borderId="1" xfId="9" applyNumberFormat="1" applyBorder="1"/>
    <xf numFmtId="0" fontId="54" fillId="12" borderId="14" xfId="9" applyBorder="1"/>
    <xf numFmtId="2" fontId="54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5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4" fillId="12" borderId="1" xfId="9" applyNumberFormat="1" applyBorder="1"/>
    <xf numFmtId="167" fontId="54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3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172" fontId="0" fillId="0" borderId="0" xfId="10" applyNumberFormat="1" applyFont="1"/>
    <xf numFmtId="0" fontId="42" fillId="0" borderId="32" xfId="0" applyFont="1" applyBorder="1" applyAlignment="1">
      <alignment horizontal="left"/>
    </xf>
    <xf numFmtId="2" fontId="42" fillId="0" borderId="32" xfId="0" applyNumberFormat="1" applyFont="1" applyBorder="1" applyAlignment="1">
      <alignment horizontal="left"/>
    </xf>
    <xf numFmtId="0" fontId="56" fillId="0" borderId="32" xfId="0" applyFont="1" applyBorder="1" applyAlignment="1">
      <alignment horizontal="left"/>
    </xf>
    <xf numFmtId="2" fontId="53" fillId="0" borderId="1" xfId="0" applyNumberFormat="1" applyFont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</cellXfs>
  <cellStyles count="11">
    <cellStyle name="Cálculo" xfId="7" builtinId="22"/>
    <cellStyle name="Énfasis3" xfId="9" builtinId="37"/>
    <cellStyle name="Entrada" xfId="5" builtinId="20"/>
    <cellStyle name="Entrada 2" xfId="8"/>
    <cellStyle name="Moneda" xfId="10" builtinId="4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68"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92992"/>
        <c:axId val="230493568"/>
      </c:scatterChart>
      <c:valAx>
        <c:axId val="23049299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3568"/>
        <c:crosses val="autoZero"/>
        <c:crossBetween val="midCat"/>
        <c:majorUnit val="150"/>
      </c:valAx>
      <c:valAx>
        <c:axId val="23049356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94144"/>
        <c:axId val="230494720"/>
        <c:extLst xmlns:c16r2="http://schemas.microsoft.com/office/drawing/2015/06/chart"/>
      </c:scatterChart>
      <c:valAx>
        <c:axId val="23049414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4720"/>
        <c:crosses val="autoZero"/>
        <c:crossBetween val="midCat"/>
        <c:majorUnit val="150"/>
      </c:valAx>
      <c:valAx>
        <c:axId val="2304947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97024"/>
        <c:axId val="230497600"/>
        <c:extLst xmlns:c16r2="http://schemas.microsoft.com/office/drawing/2015/06/chart"/>
      </c:scatterChart>
      <c:valAx>
        <c:axId val="2304970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7600"/>
        <c:crosses val="autoZero"/>
        <c:crossBetween val="midCat"/>
        <c:majorUnit val="150"/>
      </c:valAx>
      <c:valAx>
        <c:axId val="2304976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049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58240"/>
        <c:axId val="229058816"/>
        <c:extLst xmlns:c16r2="http://schemas.microsoft.com/office/drawing/2015/06/chart"/>
      </c:scatterChart>
      <c:valAx>
        <c:axId val="229058240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058816"/>
        <c:crosses val="autoZero"/>
        <c:crossBetween val="midCat"/>
        <c:majorUnit val="150"/>
      </c:valAx>
      <c:valAx>
        <c:axId val="22905881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05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(try)'!$J$397:$J$400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(try)'!$K$397:$K$400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285.99315368194465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(try)'!$L$399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(try)'!$M$399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(try)'!$L$400</c:f>
              <c:numCache>
                <c:formatCode>0.00</c:formatCode>
                <c:ptCount val="1"/>
                <c:pt idx="0">
                  <c:v>187.04201070584804</c:v>
                </c:pt>
              </c:numCache>
            </c:numRef>
          </c:xVal>
          <c:yVal>
            <c:numRef>
              <c:f>'Dis_Cuadrado (try)'!$M$400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10816"/>
        <c:axId val="247119872"/>
      </c:scatterChart>
      <c:valAx>
        <c:axId val="23601081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7119872"/>
        <c:crosses val="autoZero"/>
        <c:crossBetween val="midCat"/>
        <c:majorUnit val="150"/>
      </c:valAx>
      <c:valAx>
        <c:axId val="24711987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01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(try)'!$O$397:$O$400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(try)'!$P$397:$P$400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(try)'!$Q$399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(try)'!$R$399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(try)'!$Q$400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(try)'!$R$400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22176"/>
        <c:axId val="247122752"/>
        <c:extLst xmlns:c16r2="http://schemas.microsoft.com/office/drawing/2015/06/chart"/>
      </c:scatterChart>
      <c:valAx>
        <c:axId val="24712217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7122752"/>
        <c:crosses val="autoZero"/>
        <c:crossBetween val="midCat"/>
        <c:majorUnit val="150"/>
      </c:valAx>
      <c:valAx>
        <c:axId val="24712275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712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(try)'!$J$404:$J$407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(try)'!$K$404:$K$407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(try)'!$L$406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(try)'!$M$406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(try)'!$L$407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(try)'!$M$407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25056"/>
        <c:axId val="247125632"/>
        <c:extLst xmlns:c16r2="http://schemas.microsoft.com/office/drawing/2015/06/chart"/>
      </c:scatterChart>
      <c:valAx>
        <c:axId val="2471250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7125632"/>
        <c:crosses val="autoZero"/>
        <c:crossBetween val="midCat"/>
        <c:majorUnit val="150"/>
      </c:valAx>
      <c:valAx>
        <c:axId val="2471256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71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(try)'!$O$404:$O$407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(try)'!$P$404:$P$407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290.42054758459562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(try)'!$Q$406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(try)'!$R$406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(try)'!$Q$407</c:f>
              <c:numCache>
                <c:formatCode>0.00</c:formatCode>
                <c:ptCount val="1"/>
                <c:pt idx="0">
                  <c:v>187.22505715961771</c:v>
                </c:pt>
              </c:numCache>
            </c:numRef>
          </c:xVal>
          <c:yVal>
            <c:numRef>
              <c:f>'Dis_Cuadrado (try)'!$R$407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74624"/>
        <c:axId val="174875200"/>
        <c:extLst xmlns:c16r2="http://schemas.microsoft.com/office/drawing/2015/06/chart"/>
      </c:scatterChart>
      <c:valAx>
        <c:axId val="17487462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875200"/>
        <c:crosses val="autoZero"/>
        <c:crossBetween val="midCat"/>
        <c:majorUnit val="150"/>
      </c:valAx>
      <c:valAx>
        <c:axId val="1748752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87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="" xmlns:a16="http://schemas.microsoft.com/office/drawing/2014/main" id="{00000000-0008-0000-0000-000006000000}"/>
            </a:ext>
            <a:ext uri="{147F2762-F138-4A5C-976F-8EAC2B608ADB}">
              <a16:predDERef xmlns=""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="" xmlns:a16="http://schemas.microsoft.com/office/drawing/2014/main" id="{00000000-0008-0000-0000-000007000000}"/>
            </a:ext>
            <a:ext uri="{147F2762-F138-4A5C-976F-8EAC2B608ADB}">
              <a16:predDERef xmlns=""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="" xmlns:a16="http://schemas.microsoft.com/office/drawing/2014/main" id="{00000000-0008-0000-0000-000008000000}"/>
            </a:ext>
            <a:ext uri="{147F2762-F138-4A5C-976F-8EAC2B608ADB}">
              <a16:predDERef xmlns=""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="" xmlns:a16="http://schemas.microsoft.com/office/drawing/2014/main" id="{00000000-0008-0000-0000-000009000000}"/>
            </a:ext>
            <a:ext uri="{147F2762-F138-4A5C-976F-8EAC2B608ADB}">
              <a16:predDERef xmlns=""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414133" y="38175916"/>
          <a:ext cx="1509353" cy="630334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211726" y="38018779"/>
          <a:ext cx="1995616" cy="1949002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914206" y="40253067"/>
          <a:ext cx="2511908" cy="1328653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490975" y="36693898"/>
          <a:ext cx="999053" cy="1252413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450186" y="42107788"/>
          <a:ext cx="991707" cy="587870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310838" y="52284087"/>
          <a:ext cx="2081062" cy="780605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="" xmlns:a16="http://schemas.microsoft.com/office/drawing/2014/main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331</xdr:row>
      <xdr:rowOff>76200</xdr:rowOff>
    </xdr:from>
    <xdr:to>
      <xdr:col>13</xdr:col>
      <xdr:colOff>312420</xdr:colOff>
      <xdr:row>331</xdr:row>
      <xdr:rowOff>76200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4" name="Lin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331</xdr:row>
      <xdr:rowOff>76200</xdr:rowOff>
    </xdr:from>
    <xdr:to>
      <xdr:col>13</xdr:col>
      <xdr:colOff>312420</xdr:colOff>
      <xdr:row>331</xdr:row>
      <xdr:rowOff>76200</xdr:rowOff>
    </xdr:to>
    <xdr:sp macro="" textlink="">
      <xdr:nvSpPr>
        <xdr:cNvPr id="5" name="Lin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369</xdr:row>
      <xdr:rowOff>59531</xdr:rowOff>
    </xdr:from>
    <xdr:to>
      <xdr:col>2</xdr:col>
      <xdr:colOff>107155</xdr:colOff>
      <xdr:row>382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="" xmlns:a16="http://schemas.microsoft.com/office/drawing/2014/main" id="{00000000-0008-0000-0000-000006000000}"/>
            </a:ext>
            <a:ext uri="{147F2762-F138-4A5C-976F-8EAC2B608ADB}">
              <a16:predDERef xmlns=""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369</xdr:row>
      <xdr:rowOff>59127</xdr:rowOff>
    </xdr:from>
    <xdr:to>
      <xdr:col>6</xdr:col>
      <xdr:colOff>172713</xdr:colOff>
      <xdr:row>382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="" xmlns:a16="http://schemas.microsoft.com/office/drawing/2014/main" id="{00000000-0008-0000-0000-000007000000}"/>
            </a:ext>
            <a:ext uri="{147F2762-F138-4A5C-976F-8EAC2B608ADB}">
              <a16:predDERef xmlns=""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382</xdr:row>
      <xdr:rowOff>64708</xdr:rowOff>
    </xdr:from>
    <xdr:to>
      <xdr:col>2</xdr:col>
      <xdr:colOff>110726</xdr:colOff>
      <xdr:row>388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="" xmlns:a16="http://schemas.microsoft.com/office/drawing/2014/main" id="{00000000-0008-0000-0000-000008000000}"/>
            </a:ext>
            <a:ext uri="{147F2762-F138-4A5C-976F-8EAC2B608ADB}">
              <a16:predDERef xmlns=""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382</xdr:row>
      <xdr:rowOff>54161</xdr:rowOff>
    </xdr:from>
    <xdr:to>
      <xdr:col>6</xdr:col>
      <xdr:colOff>177838</xdr:colOff>
      <xdr:row>388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="" xmlns:a16="http://schemas.microsoft.com/office/drawing/2014/main" id="{00000000-0008-0000-0000-000009000000}"/>
            </a:ext>
            <a:ext uri="{147F2762-F138-4A5C-976F-8EAC2B608ADB}">
              <a16:predDERef xmlns=""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219</xdr:row>
      <xdr:rowOff>130345</xdr:rowOff>
    </xdr:from>
    <xdr:to>
      <xdr:col>10</xdr:col>
      <xdr:colOff>3754</xdr:colOff>
      <xdr:row>223</xdr:row>
      <xdr:rowOff>9564</xdr:rowOff>
    </xdr:to>
    <xdr:grpSp>
      <xdr:nvGrpSpPr>
        <xdr:cNvPr id="10" name="9 Grup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8945140" y="30187012"/>
          <a:ext cx="1483197" cy="651802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224</xdr:row>
      <xdr:rowOff>2</xdr:rowOff>
    </xdr:from>
    <xdr:to>
      <xdr:col>11</xdr:col>
      <xdr:colOff>666280</xdr:colOff>
      <xdr:row>229</xdr:row>
      <xdr:rowOff>213216</xdr:rowOff>
    </xdr:to>
    <xdr:pic>
      <xdr:nvPicPr>
        <xdr:cNvPr id="13" name="12 Imagen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218</xdr:row>
      <xdr:rowOff>169150</xdr:rowOff>
    </xdr:from>
    <xdr:to>
      <xdr:col>13</xdr:col>
      <xdr:colOff>807028</xdr:colOff>
      <xdr:row>229</xdr:row>
      <xdr:rowOff>245810</xdr:rowOff>
    </xdr:to>
    <xdr:grpSp>
      <xdr:nvGrpSpPr>
        <xdr:cNvPr id="14" name="13 Grupo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705540" y="30024733"/>
          <a:ext cx="1970821" cy="2193327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230</xdr:row>
      <xdr:rowOff>139210</xdr:rowOff>
    </xdr:from>
    <xdr:to>
      <xdr:col>14</xdr:col>
      <xdr:colOff>198485</xdr:colOff>
      <xdr:row>237</xdr:row>
      <xdr:rowOff>161577</xdr:rowOff>
    </xdr:to>
    <xdr:grpSp>
      <xdr:nvGrpSpPr>
        <xdr:cNvPr id="17" name="16 Grupo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408020" y="32513627"/>
          <a:ext cx="2474715" cy="15463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219</xdr:row>
      <xdr:rowOff>0</xdr:rowOff>
    </xdr:from>
    <xdr:to>
      <xdr:col>12</xdr:col>
      <xdr:colOff>52040</xdr:colOff>
      <xdr:row>221</xdr:row>
      <xdr:rowOff>160702</xdr:rowOff>
    </xdr:to>
    <xdr:pic>
      <xdr:nvPicPr>
        <xdr:cNvPr id="20" name="19 Imagen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232</xdr:row>
      <xdr:rowOff>80964</xdr:rowOff>
    </xdr:from>
    <xdr:to>
      <xdr:col>9</xdr:col>
      <xdr:colOff>795338</xdr:colOff>
      <xdr:row>233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231</xdr:row>
      <xdr:rowOff>166689</xdr:rowOff>
    </xdr:from>
    <xdr:to>
      <xdr:col>11</xdr:col>
      <xdr:colOff>456588</xdr:colOff>
      <xdr:row>232</xdr:row>
      <xdr:rowOff>98057</xdr:rowOff>
    </xdr:to>
    <xdr:pic>
      <xdr:nvPicPr>
        <xdr:cNvPr id="22" name="21 Imagen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231</xdr:row>
      <xdr:rowOff>164307</xdr:rowOff>
    </xdr:from>
    <xdr:to>
      <xdr:col>10</xdr:col>
      <xdr:colOff>959644</xdr:colOff>
      <xdr:row>232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237</xdr:row>
      <xdr:rowOff>166482</xdr:rowOff>
    </xdr:from>
    <xdr:to>
      <xdr:col>10</xdr:col>
      <xdr:colOff>166688</xdr:colOff>
      <xdr:row>239</xdr:row>
      <xdr:rowOff>178722</xdr:rowOff>
    </xdr:to>
    <xdr:pic>
      <xdr:nvPicPr>
        <xdr:cNvPr id="24" name="23 Imagen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211</xdr:row>
      <xdr:rowOff>161441</xdr:rowOff>
    </xdr:from>
    <xdr:to>
      <xdr:col>9</xdr:col>
      <xdr:colOff>398971</xdr:colOff>
      <xdr:row>218</xdr:row>
      <xdr:rowOff>96682</xdr:rowOff>
    </xdr:to>
    <xdr:grpSp>
      <xdr:nvGrpSpPr>
        <xdr:cNvPr id="25" name="24 Grupo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021982" y="28662358"/>
          <a:ext cx="986656" cy="1289907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240</xdr:row>
      <xdr:rowOff>121588</xdr:rowOff>
    </xdr:from>
    <xdr:to>
      <xdr:col>9</xdr:col>
      <xdr:colOff>350836</xdr:colOff>
      <xdr:row>243</xdr:row>
      <xdr:rowOff>132515</xdr:rowOff>
    </xdr:to>
    <xdr:grpSp>
      <xdr:nvGrpSpPr>
        <xdr:cNvPr id="31" name="30 Grupo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981193" y="34602088"/>
          <a:ext cx="979310" cy="614177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299</xdr:row>
      <xdr:rowOff>1</xdr:rowOff>
    </xdr:from>
    <xdr:to>
      <xdr:col>10</xdr:col>
      <xdr:colOff>779484</xdr:colOff>
      <xdr:row>303</xdr:row>
      <xdr:rowOff>3218</xdr:rowOff>
    </xdr:to>
    <xdr:pic>
      <xdr:nvPicPr>
        <xdr:cNvPr id="34" name="33 Imagen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295</xdr:row>
      <xdr:rowOff>183311</xdr:rowOff>
    </xdr:from>
    <xdr:to>
      <xdr:col>8</xdr:col>
      <xdr:colOff>675736</xdr:colOff>
      <xdr:row>296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291</xdr:row>
      <xdr:rowOff>162310</xdr:rowOff>
    </xdr:from>
    <xdr:to>
      <xdr:col>12</xdr:col>
      <xdr:colOff>217714</xdr:colOff>
      <xdr:row>298</xdr:row>
      <xdr:rowOff>127464</xdr:rowOff>
    </xdr:to>
    <xdr:grpSp>
      <xdr:nvGrpSpPr>
        <xdr:cNvPr id="36" name="35 Grupo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8841845" y="44559393"/>
          <a:ext cx="3430286" cy="1351571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307</xdr:row>
      <xdr:rowOff>151086</xdr:rowOff>
    </xdr:from>
    <xdr:to>
      <xdr:col>10</xdr:col>
      <xdr:colOff>208017</xdr:colOff>
      <xdr:row>310</xdr:row>
      <xdr:rowOff>82580</xdr:rowOff>
    </xdr:to>
    <xdr:pic>
      <xdr:nvPicPr>
        <xdr:cNvPr id="39" name="38 Imagen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317</xdr:row>
      <xdr:rowOff>0</xdr:rowOff>
    </xdr:from>
    <xdr:to>
      <xdr:col>8</xdr:col>
      <xdr:colOff>578070</xdr:colOff>
      <xdr:row>318</xdr:row>
      <xdr:rowOff>55179</xdr:rowOff>
    </xdr:to>
    <xdr:pic>
      <xdr:nvPicPr>
        <xdr:cNvPr id="40" name="39 Imagen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323</xdr:row>
      <xdr:rowOff>1</xdr:rowOff>
    </xdr:from>
    <xdr:to>
      <xdr:col>8</xdr:col>
      <xdr:colOff>589018</xdr:colOff>
      <xdr:row>323</xdr:row>
      <xdr:rowOff>164225</xdr:rowOff>
    </xdr:to>
    <xdr:pic>
      <xdr:nvPicPr>
        <xdr:cNvPr id="41" name="40 Imagen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255</xdr:row>
      <xdr:rowOff>0</xdr:rowOff>
    </xdr:from>
    <xdr:to>
      <xdr:col>8</xdr:col>
      <xdr:colOff>959069</xdr:colOff>
      <xdr:row>256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329</xdr:row>
      <xdr:rowOff>26275</xdr:rowOff>
    </xdr:from>
    <xdr:to>
      <xdr:col>8</xdr:col>
      <xdr:colOff>652185</xdr:colOff>
      <xdr:row>330</xdr:row>
      <xdr:rowOff>11207</xdr:rowOff>
    </xdr:to>
    <xdr:pic>
      <xdr:nvPicPr>
        <xdr:cNvPr id="43" name="42 Imagen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361</xdr:row>
      <xdr:rowOff>16567</xdr:rowOff>
    </xdr:from>
    <xdr:to>
      <xdr:col>9</xdr:col>
      <xdr:colOff>582193</xdr:colOff>
      <xdr:row>364</xdr:row>
      <xdr:rowOff>5576</xdr:rowOff>
    </xdr:to>
    <xdr:pic>
      <xdr:nvPicPr>
        <xdr:cNvPr id="44" name="43 Imagen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97676" y="56056224"/>
          <a:ext cx="1357860" cy="587723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351</xdr:row>
      <xdr:rowOff>140806</xdr:rowOff>
    </xdr:from>
    <xdr:to>
      <xdr:col>10</xdr:col>
      <xdr:colOff>371608</xdr:colOff>
      <xdr:row>353</xdr:row>
      <xdr:rowOff>182217</xdr:rowOff>
    </xdr:to>
    <xdr:pic>
      <xdr:nvPicPr>
        <xdr:cNvPr id="45" name="44 Imagen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447675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276225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219075</xdr:colOff>
          <xdr:row>6</xdr:row>
          <xdr:rowOff>142875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B220" zoomScale="70" zoomScaleNormal="70" zoomScaleSheetLayoutView="80" workbookViewId="0">
      <selection activeCell="B292" sqref="B292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71" t="s">
        <v>390</v>
      </c>
      <c r="B2" s="372"/>
      <c r="C2" s="124"/>
      <c r="D2" s="124"/>
      <c r="E2" s="124"/>
      <c r="F2" s="124"/>
      <c r="G2" s="124"/>
      <c r="H2" s="122"/>
      <c r="I2" s="100"/>
      <c r="J2" s="306">
        <v>2</v>
      </c>
      <c r="Q2" s="375" t="s">
        <v>0</v>
      </c>
      <c r="R2" s="376"/>
      <c r="S2" s="376"/>
      <c r="T2" s="376"/>
      <c r="U2" s="376"/>
      <c r="V2" s="377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73"/>
      <c r="B3" s="374"/>
      <c r="C3" s="50"/>
      <c r="H3" s="28"/>
      <c r="I3" s="100"/>
      <c r="J3" s="203"/>
      <c r="L3" s="31"/>
      <c r="M3" s="31"/>
      <c r="N3" s="31"/>
      <c r="O3" s="31"/>
      <c r="P3" s="31"/>
      <c r="Q3" s="378" t="s">
        <v>1</v>
      </c>
      <c r="R3" s="379"/>
      <c r="S3" s="379"/>
      <c r="T3" s="379"/>
      <c r="U3" s="379"/>
      <c r="V3" s="380"/>
      <c r="W3" s="138"/>
      <c r="X3" s="138"/>
      <c r="Y3" s="138"/>
      <c r="Z3" s="138"/>
      <c r="AE3" s="141"/>
      <c r="AF3" s="142"/>
      <c r="AH3" s="142"/>
      <c r="AI3" s="142"/>
      <c r="AJ3" s="381"/>
      <c r="AK3" s="381"/>
      <c r="AL3" s="381"/>
      <c r="AM3" s="38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>+CONCATENATE("DIAGRAMA FLEXOCOMPRESIÓN PEDESTAL Hp=",D38," m")</f>
        <v>DIAGRAMA FLEXOCOMPRESIÓN PEDESTAL Hp=0.5 m</v>
      </c>
      <c r="AB5" t="str">
        <f>+CONCATENATE("DIAGRAMA FLEXOCOMPRESIÓN PEDESTAL Hp=",E38," m")</f>
        <v>DIAGRAMA FLEXOCOMPRESIÓN PEDESTAL Hp=0.75 m</v>
      </c>
      <c r="AC5" t="str">
        <f>+CONCATENATE("DIAGRAMA FLEXOCOMPRESIÓN PEDESTAL Hp=",F38," m")</f>
        <v>DIAGRAMA FLEXOCOMPRESIÓN PEDESTAL Hp=1.3 m</v>
      </c>
      <c r="AD5" t="str">
        <f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82" t="s">
        <v>14</v>
      </c>
      <c r="G6" s="383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8" t="s">
        <v>27</v>
      </c>
      <c r="R11" s="379"/>
      <c r="S11" s="379"/>
      <c r="T11" s="379"/>
      <c r="U11" s="379"/>
      <c r="V11" s="380"/>
      <c r="W11" s="384"/>
      <c r="X11" s="384"/>
      <c r="Y11" s="384"/>
      <c r="Z11" s="384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5" t="s">
        <v>34</v>
      </c>
      <c r="D19" s="386"/>
      <c r="E19" s="386"/>
      <c r="F19" s="386" t="s">
        <v>35</v>
      </c>
      <c r="G19" s="386"/>
      <c r="H19" s="387"/>
      <c r="I19" s="100"/>
      <c r="J19" s="386" t="s">
        <v>34</v>
      </c>
      <c r="K19" s="386"/>
      <c r="L19" s="386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G25" si="0">+D22</f>
        <v>12.010999999999999</v>
      </c>
      <c r="G22" s="261">
        <f t="shared" si="0"/>
        <v>22.925999999999998</v>
      </c>
      <c r="H22" s="262">
        <f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0"/>
        <v>15.211</v>
      </c>
      <c r="G23" s="261">
        <f t="shared" si="0"/>
        <v>8.7789999999999999</v>
      </c>
      <c r="H23" s="262">
        <f>+C23</f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 t="shared" si="0"/>
        <v>30.876000000000001</v>
      </c>
      <c r="G24" s="261">
        <f t="shared" si="0"/>
        <v>19.401</v>
      </c>
      <c r="H24" s="263">
        <f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si="0"/>
        <v>7.34</v>
      </c>
      <c r="G25" s="260">
        <f t="shared" si="0"/>
        <v>35.332999999999998</v>
      </c>
      <c r="H25" s="263">
        <f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5" t="s">
        <v>34</v>
      </c>
      <c r="D27" s="386"/>
      <c r="E27" s="386"/>
      <c r="F27" s="386" t="s">
        <v>35</v>
      </c>
      <c r="G27" s="386"/>
      <c r="H27" s="387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 t="shared" ref="C30:H30" si="1">C22*1.5</f>
        <v>-1092.8609999999999</v>
      </c>
      <c r="D30" s="318">
        <f t="shared" si="1"/>
        <v>18.016500000000001</v>
      </c>
      <c r="E30" s="318">
        <f t="shared" si="1"/>
        <v>34.388999999999996</v>
      </c>
      <c r="F30" s="318">
        <f t="shared" si="1"/>
        <v>18.016500000000001</v>
      </c>
      <c r="G30" s="318">
        <f t="shared" si="1"/>
        <v>34.388999999999996</v>
      </c>
      <c r="H30" s="319">
        <f t="shared" si="1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2">C23*1.5</f>
        <v>912.86099999999988</v>
      </c>
      <c r="D31" s="318">
        <f t="shared" si="2"/>
        <v>22.816500000000001</v>
      </c>
      <c r="E31" s="318">
        <f t="shared" si="2"/>
        <v>13.1685</v>
      </c>
      <c r="F31" s="318">
        <f t="shared" si="2"/>
        <v>22.816500000000001</v>
      </c>
      <c r="G31" s="318">
        <f t="shared" si="2"/>
        <v>13.1685</v>
      </c>
      <c r="H31" s="319">
        <f t="shared" si="2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3">C24*1.5</f>
        <v>-182.46600000000001</v>
      </c>
      <c r="D32" s="317">
        <f t="shared" si="3"/>
        <v>46.314</v>
      </c>
      <c r="E32" s="318">
        <f t="shared" si="3"/>
        <v>29.101500000000001</v>
      </c>
      <c r="F32" s="317">
        <f t="shared" si="3"/>
        <v>46.314</v>
      </c>
      <c r="G32" s="318">
        <f t="shared" si="3"/>
        <v>29.101500000000001</v>
      </c>
      <c r="H32" s="320">
        <f t="shared" si="3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4">C25*1.5</f>
        <v>-1022.0115000000001</v>
      </c>
      <c r="D33" s="318">
        <f t="shared" si="4"/>
        <v>11.01</v>
      </c>
      <c r="E33" s="317">
        <f t="shared" si="4"/>
        <v>52.999499999999998</v>
      </c>
      <c r="F33" s="318">
        <f t="shared" si="4"/>
        <v>11.01</v>
      </c>
      <c r="G33" s="317">
        <f t="shared" si="4"/>
        <v>52.999499999999998</v>
      </c>
      <c r="H33" s="320">
        <f t="shared" si="4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5">+C39</f>
        <v>0.5</v>
      </c>
      <c r="E39" s="201">
        <f t="shared" si="5"/>
        <v>0.5</v>
      </c>
      <c r="F39" s="201">
        <f t="shared" si="5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5"/>
        <v>0.4</v>
      </c>
      <c r="E40" s="201">
        <f t="shared" si="5"/>
        <v>0.4</v>
      </c>
      <c r="F40" s="201">
        <f t="shared" si="5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5" si="6">+C42</f>
        <v>3</v>
      </c>
      <c r="E42" s="201">
        <f t="shared" si="6"/>
        <v>3</v>
      </c>
      <c r="F42" s="201">
        <f t="shared" si="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>+($C$42-2*$C$45)/(J42-1)</f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>+($C$42-2*$C$45)/(J43-1)</f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si="6"/>
        <v>7.4999999999999997E-2</v>
      </c>
      <c r="E45" s="202">
        <f t="shared" si="6"/>
        <v>7.4999999999999997E-2</v>
      </c>
      <c r="F45" s="202">
        <f t="shared" si="6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7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.75" thickBot="1">
      <c r="A47" s="268" t="s">
        <v>329</v>
      </c>
      <c r="C47" s="243">
        <f>+C43-C40</f>
        <v>2.6</v>
      </c>
      <c r="D47" s="244">
        <f>+D43-D40</f>
        <v>2.6</v>
      </c>
      <c r="E47" s="244">
        <f>+E43-E40</f>
        <v>2.6</v>
      </c>
      <c r="F47" s="244">
        <f>+F43-F40</f>
        <v>2.6</v>
      </c>
      <c r="G47" s="245" t="s">
        <v>50</v>
      </c>
      <c r="H47" s="28"/>
      <c r="I47" s="4">
        <f t="shared" si="7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>+D40*D42^2+D41*D39^2</f>
        <v>4.375</v>
      </c>
      <c r="E49" s="201">
        <f>+E40*E42^2+E41*E39^2</f>
        <v>4.4375</v>
      </c>
      <c r="F49" s="201">
        <f>+F40*F42^2+F41*F39^2</f>
        <v>4.5750000000000002</v>
      </c>
      <c r="G49" s="5" t="s">
        <v>60</v>
      </c>
      <c r="H49" s="28"/>
      <c r="I49" s="4">
        <f t="shared" si="7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>(D43-D40)*(D42^2-D39^2)</f>
        <v>22.75</v>
      </c>
      <c r="E50" s="201">
        <f>(E43-E40)*(E42^2-E39^2)</f>
        <v>22.75</v>
      </c>
      <c r="F50" s="201">
        <f>(F43-F40)*(F42^2-F39^2)</f>
        <v>22.75</v>
      </c>
      <c r="G50" s="5" t="s">
        <v>60</v>
      </c>
      <c r="H50" s="28"/>
      <c r="I50" s="4">
        <f t="shared" si="7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7.25">
      <c r="A51" s="252"/>
      <c r="B51" s="1" t="s">
        <v>62</v>
      </c>
      <c r="C51" s="201">
        <f>+C43*C42^2</f>
        <v>27</v>
      </c>
      <c r="D51" s="201">
        <f>+D43*D42^2</f>
        <v>27</v>
      </c>
      <c r="E51" s="201">
        <f>+E43*E42^2</f>
        <v>27</v>
      </c>
      <c r="F51" s="201">
        <f>+F43*F42^2</f>
        <v>27</v>
      </c>
      <c r="G51" s="5" t="s">
        <v>60</v>
      </c>
      <c r="H51" s="28"/>
      <c r="I51" s="4">
        <f t="shared" si="7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7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>Piramide(D42^2, (   D42 + 2*(D43)*TAN(RADIANS(       IF($C$13=$C$14,$C$8,$C$8*0.5)       ))   )^2, D43)
    -(D43)*D42^2</f>
        <v>24.423468581919522</v>
      </c>
      <c r="E54" s="201">
        <f>Piramide(E42^2, (   E42 + 2*(E43)*TAN(RADIANS(       IF($C$13=$C$14,$C$8,$C$8*0.5)       ))   )^2, E43)
    -(E43)*E42^2</f>
        <v>24.423468581919522</v>
      </c>
      <c r="F54" s="201">
        <f>Piramide(F42^2, (   F42 + 2*(F43)*TAN(RADIANS(       IF($C$13=$C$14,$C$8,$C$8*0.5)       ))   )^2, F43)
    -(F43)*F42^2</f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>+D54*$C$13</f>
        <v>395.66019102709623</v>
      </c>
      <c r="E55" s="201">
        <f>+E54*$C$13</f>
        <v>395.66019102709623</v>
      </c>
      <c r="F55" s="201">
        <f>+F54*$C$13</f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>+D50*$C$14</f>
        <v>368.55</v>
      </c>
      <c r="E56" s="5">
        <f>+E50*$C$14</f>
        <v>368.55</v>
      </c>
      <c r="F56" s="5">
        <f>+F50*$C$14</f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>+D49*$C$12</f>
        <v>61.25</v>
      </c>
      <c r="E57" s="5">
        <f>+E49*$C$12</f>
        <v>62.125</v>
      </c>
      <c r="F57" s="5">
        <f>+F49*$C$12</f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>+D55+D56+D57</f>
        <v>825.46019102709624</v>
      </c>
      <c r="E58" s="231">
        <f>+E55+E56+E57</f>
        <v>826.33519102709624</v>
      </c>
      <c r="F58" s="231">
        <f>+F55+F56+F57</f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>+$H$23</f>
        <v>608.57399999999996</v>
      </c>
      <c r="E60" s="169">
        <f>+$H$23</f>
        <v>608.57399999999996</v>
      </c>
      <c r="F60" s="169">
        <f>+$H$23</f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1.3552340241730607</v>
      </c>
      <c r="D61" s="17">
        <f>+D58/D60</f>
        <v>1.3563842540547186</v>
      </c>
      <c r="E61" s="17">
        <f>+E58/E60</f>
        <v>1.3578220414067907</v>
      </c>
      <c r="F61" s="17">
        <f>+F58/F60</f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>+IF(D61&gt;1.5,"OK","NO CUMPLE")</f>
        <v>NO CUMPLE</v>
      </c>
      <c r="E62" s="175" t="str">
        <f>+IF(E61&gt;1.5,"OK","NO CUMPLE")</f>
        <v>NO CUMPLE</v>
      </c>
      <c r="F62" s="175" t="str">
        <f>+IF(F61&gt;1.5,"OK","NO CUMPLE")</f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 t="shared" ref="C66:F67" si="8">+C64^2*$C$10*C$39*$C$14/2</f>
        <v>35.333000000000006</v>
      </c>
      <c r="D66" s="5">
        <f t="shared" si="8"/>
        <v>35.333000000000006</v>
      </c>
      <c r="E66" s="5">
        <f t="shared" si="8"/>
        <v>35.333000000000006</v>
      </c>
      <c r="F66" s="5">
        <f t="shared" si="8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 t="shared" si="8"/>
        <v>30.876000000000008</v>
      </c>
      <c r="D67" s="5">
        <f t="shared" si="8"/>
        <v>30.876000000000008</v>
      </c>
      <c r="E67" s="5">
        <f t="shared" si="8"/>
        <v>30.876000000000008</v>
      </c>
      <c r="F67" s="5">
        <f t="shared" si="8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>+(D58)*D42/2+D66*(D43-2/3*D64)</f>
        <v>1304.0202539919849</v>
      </c>
      <c r="E70" s="5">
        <f>+(E58)*E42/2+E66*(E43-2/3*E64)</f>
        <v>1305.3327539919849</v>
      </c>
      <c r="F70" s="5">
        <f>+(F58)*F42/2+F66*(F43-2/3*F64)</f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>+(D58)*D42/2+D67*(D43-2/3*D65)</f>
        <v>1298.0048172031381</v>
      </c>
      <c r="E71" s="5">
        <f>+(E58)*E42/2+E67*(E43-2/3*E65)</f>
        <v>1299.3173172031381</v>
      </c>
      <c r="F71" s="5">
        <f>+(F58)*F42/2+F67*(F43-2/3*F65)</f>
        <v>1302.2048172031382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1.2656833490959531</v>
      </c>
      <c r="D72" s="17">
        <f>+MIN(D70/D68,D71/D69)</f>
        <v>1.2580674531639904</v>
      </c>
      <c r="E72" s="17">
        <f>+MIN(E70/E68,E71/E69)</f>
        <v>1.248692379816599</v>
      </c>
      <c r="F72" s="17">
        <f>+MIN(F70/F68,F71/F69)</f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>+IF(D72&gt;1.5,"OK","NO CUMPLE")</f>
        <v>NO CUMPLE</v>
      </c>
      <c r="E73" s="175" t="str">
        <f>+IF(E72&gt;1.5,"OK","NO CUMPLE")</f>
        <v>NO CUMPLE</v>
      </c>
      <c r="F73" s="175" t="str">
        <f>+IF(F72&gt;1.5,"OK","NO CUMPLE")</f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>D56+D57-MIN($H$22:$H$25)</f>
        <v>1158.374</v>
      </c>
      <c r="E75" s="5">
        <f>E56+E57-MIN($H$22:$H$25)</f>
        <v>1159.249</v>
      </c>
      <c r="F75" s="5">
        <f>F56+F57-MIN($H$22:$H$25)</f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>+IF($D$5="GRANULAR",D75*TAN($C$7*PI()/180),$C$9*D42^2)</f>
        <v>90</v>
      </c>
      <c r="E78" s="5">
        <f>+IF($D$5="GRANULAR",E75*TAN($C$7*PI()/180),$C$9*E42^2)</f>
        <v>90</v>
      </c>
      <c r="F78" s="5">
        <f>+IF($D$5="GRANULAR",F75*TAN($C$7*PI()/180),$C$9*F42^2)</f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>1/2*D47*$C$13*D47*D39*$C$10
+1/2*(D47*$C$13+D43*$C$13)*D40*D42*$C$10</f>
        <v>245.42999999999986</v>
      </c>
      <c r="E79" s="5">
        <f>1/2*E47*$C$13*E47*E39*$C$10
+1/2*(E47*$C$13+E43*$C$13)*E40*E42*$C$10</f>
        <v>245.42999999999986</v>
      </c>
      <c r="F79" s="5">
        <f>1/2*F47*$C$13*F47*F39*$C$10
+1/2*(F47*$C$13+F43*$C$13)*F40*F42*$C$10</f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>1/2*D47*$C$13*D47*D39*$C$11
+1/2*(D47*$C$13+D43*$C$13)*D40*D42*$C$11</f>
        <v>27.27000000000001</v>
      </c>
      <c r="E80" s="5">
        <f>1/2*E47*$C$13*E47*E39*$C$11
+1/2*(E47*$C$13+E43*$C$13)*E40*E42*$C$11</f>
        <v>27.27000000000001</v>
      </c>
      <c r="F80" s="5">
        <f>1/2*F47*$C$13*F47*F39*$C$11
+1/2*(F47*$C$13+F43*$C$13)*F40*F42*$C$11</f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>+D78+D79*3/4</f>
        <v>274.07249999999988</v>
      </c>
      <c r="E81" s="5">
        <f>+E78+E79*3/4</f>
        <v>274.07249999999988</v>
      </c>
      <c r="F81" s="5">
        <f>+F78+F79*3/4</f>
        <v>274.07249999999988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7.7568420456796732</v>
      </c>
      <c r="D82" s="248">
        <f>+D81/ (  MAX(D76:D77)  )</f>
        <v>7.7568420456796732</v>
      </c>
      <c r="E82" s="248">
        <f>+E81/ (  MAX(E76:E77)  )</f>
        <v>7.7568420456796732</v>
      </c>
      <c r="F82" s="248">
        <f>+F81/ (  MAX(F76:F77)  )</f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>+IF(D82&gt;D83,"OK","NO CUMPLE")</f>
        <v>OK</v>
      </c>
      <c r="E84" s="175" t="str">
        <f>+IF(E82&gt;E83,"OK","NO CUMPLE")</f>
        <v>OK</v>
      </c>
      <c r="F84" s="175" t="str">
        <f>+IF(F82&gt;F83,"OK","NO CUMPLE")</f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>+IF($C$10=1,0,SQRT(2*ABS($G$22)/($C$14*$C$10*D$39)))</f>
        <v>1.3736497298244974</v>
      </c>
      <c r="E88" s="201">
        <f>+IF($C$10=1,0,SQRT(2*ABS($G$22)/($C$14*$C$10*E$39)))</f>
        <v>1.3736497298244974</v>
      </c>
      <c r="F88" s="201">
        <f>+IF($C$10=1,0,SQRT(2*ABS($G$22)/($C$14*$C$10*F$39)))</f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9">+C88^2*$C$10*C$39*$C$14/2</f>
        <v>22.926000000000002</v>
      </c>
      <c r="D90" s="201">
        <f t="shared" si="9"/>
        <v>22.926000000000002</v>
      </c>
      <c r="E90" s="201">
        <f t="shared" si="9"/>
        <v>22.926000000000002</v>
      </c>
      <c r="F90" s="201">
        <f t="shared" si="9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9"/>
        <v>12.011000000000001</v>
      </c>
      <c r="D91" s="201">
        <f t="shared" si="9"/>
        <v>12.011000000000001</v>
      </c>
      <c r="E91" s="201">
        <f t="shared" si="9"/>
        <v>12.011000000000001</v>
      </c>
      <c r="F91" s="201">
        <f t="shared" si="9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>+IF(D103&lt;D107,"OK","NO CUMPLE")</f>
        <v>NO CUMPLE</v>
      </c>
      <c r="E108" s="175" t="str">
        <f>+IF(E103&lt;E107,"OK","NO CUMPLE")</f>
        <v>NO CUMPLE</v>
      </c>
      <c r="F108" s="175" t="str">
        <f>+IF(F103&lt;F107,"OK","NO CUMPLE")</f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>+IF($C$10=1,0,SQRT(2*ABS($G$23)/($C$14*$C$10*D$39)))</f>
        <v>0.85003025847861358</v>
      </c>
      <c r="E110" s="201">
        <f>+IF($C$10=1,0,SQRT(2*ABS($G$23)/($C$14*$C$10*E$39)))</f>
        <v>0.85003025847861358</v>
      </c>
      <c r="F110" s="201">
        <f>+IF($C$10=1,0,SQRT(2*ABS($G$23)/($C$14*$C$10*F$39)))</f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>+IF($C$10=1,0,SQRT(2*ABS($F$23)/($C$14*$C$10*D$39)))</f>
        <v>1.1188986354351327</v>
      </c>
      <c r="E111" s="201">
        <f>+IF($C$10=1,0,SQRT(2*ABS($F$23)/($C$14*$C$10*E$39)))</f>
        <v>1.1188986354351327</v>
      </c>
      <c r="F111" s="201">
        <f>+IF($C$10=1,0,SQRT(2*ABS($F$23)/($C$14*$C$10*F$39)))</f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>+D110^2*$C$10*D$39*$C$14/2</f>
        <v>8.7789999999999999</v>
      </c>
      <c r="E112" s="201">
        <f>+E110^2*$C$10*E$39*$C$14/2</f>
        <v>8.7789999999999999</v>
      </c>
      <c r="F112" s="201">
        <f>+F110^2*$C$10*F$39*$C$14/2</f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>+D111^2*$C$10*D$39*$C$14/2</f>
        <v>15.211000000000004</v>
      </c>
      <c r="E113" s="201">
        <f>+E111^2*$C$10*E$39*$C$14/2</f>
        <v>15.211000000000004</v>
      </c>
      <c r="F113" s="201">
        <f>+F111^2*$C$10*F$39*$C$14/2</f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>+($G$23)*(D$43+D$38)+ IF(   $H$23&gt;0, $H$23,0   )*D$42/2</f>
        <v>943.58749999999986</v>
      </c>
      <c r="E114" s="201">
        <f>+($G$23)*(E$43+E$38)+ IF(   $H$23&gt;0, $H$23,0   )*E$42/2</f>
        <v>945.78224999999986</v>
      </c>
      <c r="F114" s="201">
        <f>+($G$23)*(F$43+F$38)+ IF(   $H$23&gt;0, $H$23,0   )*F$42/2</f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>+($F$23)*(D$43+D$38)+ IF(   $H$23&gt;0, $H$23,0   )*D$42/2</f>
        <v>966.09949999999992</v>
      </c>
      <c r="E115" s="201">
        <f>+($F$23)*(E$43+E$38)+ IF(   $H$23&gt;0, $H$23,0   )*E$42/2</f>
        <v>969.90224999999987</v>
      </c>
      <c r="F115" s="201">
        <f>+($F$23)*(F$43+F$38)+ IF(   $H$23&gt;0, $H$23,0   )*F$42/2</f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>+(D$56+D$57+  IF(   $H$23&gt;0, +D$55, -$H$23   )  )*D$42/2 + D112*(D$43-2/3*D110)</f>
        <v>1259.5523427811886</v>
      </c>
      <c r="E116" s="201">
        <f>+(E$56+E$57+  IF(   $H$23&gt;0, +E$55, -$H$23   )  )*E$42/2 + E112*(E$43-2/3*E110)</f>
        <v>1260.8648427811886</v>
      </c>
      <c r="F116" s="201">
        <f>+(F$56+F$57+  IF(   $H$23&gt;0, +F$55, -$H$23   )  )*F$42/2 + F112*(F$43-2/3*F110)</f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>+(D$56+D$57+   IF(   $H$23&gt;0, +D$55, -$H$23   )    )*D$42/2+D113*(D$43-2/3*D111)</f>
        <v>1272.4769084449085</v>
      </c>
      <c r="E117" s="201">
        <f>+(E$56+E$57+   IF(   $H$23&gt;0, +E$55, -$H$23   )    )*E$42/2+E113*(E$43-2/3*E111)</f>
        <v>1273.7894084449085</v>
      </c>
      <c r="F117" s="201">
        <f>+(F$56+F$57+   IF(   $H$23&gt;0, +F$55, -$H$23   )    )*F$42/2+F113*(F$43-2/3*F111)</f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>+D121*D120</f>
        <v>18.951878095735815</v>
      </c>
      <c r="E118" s="201">
        <f>+E121*E120</f>
        <v>22.754628095735793</v>
      </c>
      <c r="F118" s="201">
        <f>+F121*F120</f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>+D122*D120</f>
        <v>9.3644437594556855</v>
      </c>
      <c r="E119" s="201">
        <f>+E122*E120</f>
        <v>11.55919375945569</v>
      </c>
      <c r="F119" s="201">
        <f>+F122*F120</f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>+D$56+D$57+  IF(   $H$23&gt;0, -$H$23+D$55, -$H$23   )</f>
        <v>216.88619102709629</v>
      </c>
      <c r="E120" s="202">
        <f>+E$56+E$57+  IF(   $H$23&gt;0, -$H$23+E$55, -$H$23   )</f>
        <v>217.76119102709629</v>
      </c>
      <c r="F120" s="202">
        <f>+F$56+F$57+  IF(   $H$23&gt;0, -$H$23+F$55, -$H$23   )</f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>+ABS(D$42/2-(D117-D115)/D120)</f>
        <v>8.7381672415318024E-2</v>
      </c>
      <c r="E121" s="202">
        <f>+ABS(E$42/2-(E117-E115)/E120)</f>
        <v>0.10449349578045064</v>
      </c>
      <c r="F121" s="202">
        <f>+ABS(F$42/2-(F117-F115)/F120)</f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>+ABS(D$42/2-(D116-D114)/D120)</f>
        <v>4.3176763421908015E-2</v>
      </c>
      <c r="E122" s="202">
        <f>+ABS(E$42/2-(E116-E114)/E120)</f>
        <v>5.3081973445017416E-2</v>
      </c>
      <c r="F122" s="202">
        <f>+ABS(F$42/2-(F116-F114)/F120)</f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>+D$42/6</f>
        <v>0.5</v>
      </c>
      <c r="E123" s="201">
        <f>+E$42/6</f>
        <v>0.5</v>
      </c>
      <c r="F123" s="201">
        <f>+F$42/6</f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>+(D120/D$42^2)*(1+6*D121/D$42+6*D122/D$42)</f>
        <v>30.390981637497699</v>
      </c>
      <c r="E125" s="17">
        <f>+(E120/E$42^2)*(1+6*E121/E$42+6*E122/E$42)</f>
        <v>31.820981637497695</v>
      </c>
      <c r="F125" s="17">
        <f>+(F120/F$42^2)*(1+6*F121/F$42+6*F122/F$42)</f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>+(D120/D$42^2)*(1+6*D121/D$42-6*D122/D$42)</f>
        <v>26.229006633295175</v>
      </c>
      <c r="E126" s="5">
        <f>+(E120/E$42^2)*(1+6*E121/E$42-6*E122/E$42)</f>
        <v>26.683562188850722</v>
      </c>
      <c r="F126" s="5">
        <f>+(F120/F$42^2)*(1+6*F121/F$42-6*F122/F$42)</f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>+(D120/D$42^2)*(1-6*D121/D$42+6*D122/D$42)</f>
        <v>21.967924706059559</v>
      </c>
      <c r="E127" s="5">
        <f>+(E120/E$42^2)*(1-6*E121/E$42+6*E122/E$42)</f>
        <v>21.707813594948455</v>
      </c>
      <c r="F127" s="5">
        <f>+(F120/F$42^2)*(1-6*F121/F$42+6*F122/F$42)</f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>+(D120/D$42^2)*(1-6*D121/D$42-6*D122/D$42)</f>
        <v>17.805949701857035</v>
      </c>
      <c r="E128" s="5">
        <f>+(E120/E$42^2)*(1-6*E121/E$42-6*E122/E$42)</f>
        <v>16.570394146301481</v>
      </c>
      <c r="F128" s="5">
        <f>+(F120/F$42^2)*(1-6*F121/F$42-6*F122/F$42)</f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>+$C$6</f>
        <v>100</v>
      </c>
      <c r="E129" s="17">
        <f>+$C$6</f>
        <v>100</v>
      </c>
      <c r="F129" s="17">
        <f>+$C$6</f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>+IF(D125&lt;D129,"OK","NO CUMPLE")</f>
        <v>OK</v>
      </c>
      <c r="E130" s="175" t="str">
        <f>+IF(E125&lt;E129,"OK","NO CUMPLE")</f>
        <v>OK</v>
      </c>
      <c r="F130" s="175" t="str">
        <f>+IF(F125&lt;F129,"OK","NO CUMPLE")</f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>+IF($C$10=1,0,SQRT(2*ABS($G$24)/($C$14*$C$10*D$39)))</f>
        <v>1.2636416119520564</v>
      </c>
      <c r="E132" s="201">
        <f>+IF($C$10=1,0,SQRT(2*ABS($G$24)/($C$14*$C$10*E$39)))</f>
        <v>1.2636416119520564</v>
      </c>
      <c r="F132" s="201">
        <f>+IF($C$10=1,0,SQRT(2*ABS($G$24)/($C$14*$C$10*F$39)))</f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>+IF($C$10=1,0,SQRT(2*ABS($F$24)/($C$14*$C$10*D$39)))</f>
        <v>1.5941250163965299</v>
      </c>
      <c r="E133" s="201">
        <f>+IF($C$10=1,0,SQRT(2*ABS($F$24)/($C$14*$C$10*E$39)))</f>
        <v>1.5941250163965299</v>
      </c>
      <c r="F133" s="201">
        <f>+IF($C$10=1,0,SQRT(2*ABS($F$24)/($C$14*$C$10*F$39)))</f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 t="shared" ref="C134:F135" si="10">+C132^2*$C$10*C$39*$C$14/2</f>
        <v>19.401000000000003</v>
      </c>
      <c r="D134" s="201">
        <f t="shared" si="10"/>
        <v>19.401000000000003</v>
      </c>
      <c r="E134" s="201">
        <f t="shared" si="10"/>
        <v>19.401000000000003</v>
      </c>
      <c r="F134" s="201">
        <f t="shared" si="10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 t="shared" si="10"/>
        <v>30.876000000000008</v>
      </c>
      <c r="D135" s="201">
        <f t="shared" si="10"/>
        <v>30.876000000000008</v>
      </c>
      <c r="E135" s="201">
        <f t="shared" si="10"/>
        <v>30.876000000000008</v>
      </c>
      <c r="F135" s="201">
        <f t="shared" si="10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>+($G$24)*(D$43+D$38)+ IF(   $H$24&gt;0, $H$24,0   )*D$42/2</f>
        <v>67.903499999999994</v>
      </c>
      <c r="E136" s="201">
        <f>+($G$24)*(E$43+E$38)+ IF(   $H$24&gt;0, $H$24,0   )*E$42/2</f>
        <v>72.753749999999997</v>
      </c>
      <c r="F136" s="201">
        <f>+($G$24)*(F$43+F$38)+ IF(   $H$24&gt;0, $H$24,0   )*F$42/2</f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>+($F$24)*(D$43+D$38)+ IF(   $H$24&gt;0, $H$24,0   )*D$42/2</f>
        <v>108.066</v>
      </c>
      <c r="E137" s="201">
        <f>+($F$24)*(E$43+E$38)+ IF(   $H$24&gt;0, $H$24,0   )*E$42/2</f>
        <v>115.78500000000001</v>
      </c>
      <c r="F137" s="201">
        <f>+($F$24)*(F$43+F$38)+ IF(   $H$24&gt;0, $H$24,0   )*F$42/2</f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>+(D$56+D$57+  IF(   $H$24&gt;0, +D$55, -$H$24   )  )*D$42/2 + D134*(D$43-2/3*D132)</f>
        <v>869.02505939101206</v>
      </c>
      <c r="E138" s="201">
        <f>+(E$56+E$57+  IF(   $H$24&gt;0, +E$55, -$H$24   )  )*E$42/2 + E134*(E$43-2/3*E132)</f>
        <v>870.33755939101206</v>
      </c>
      <c r="F138" s="201">
        <f>+(F$56+F$57+  IF(   $H$24&gt;0, +F$55, -$H$24   )  )*F$42/2 + F134*(F$43-2/3*F132)</f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>+(D$56+D$57+   IF(   $H$24&gt;0, +D$55, -$H$24   )    )*D$42/2+D135*(D$43-2/3*D133)</f>
        <v>886.98053066249383</v>
      </c>
      <c r="E139" s="201">
        <f>+(E$56+E$57+   IF(   $H$24&gt;0, +E$55, -$H$24   )    )*E$42/2+E135*(E$43-2/3*E133)</f>
        <v>888.29303066249383</v>
      </c>
      <c r="F139" s="201">
        <f>+(F$56+F$57+   IF(   $H$24&gt;0, +F$55, -$H$24   )    )*F$42/2+F135*(F$43-2/3*F133)</f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>+D143*D142</f>
        <v>48.251469337506165</v>
      </c>
      <c r="E140" s="201">
        <f>+E143*E142</f>
        <v>55.970469337506096</v>
      </c>
      <c r="F140" s="201">
        <f>+F143*F142</f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>+D144*D142</f>
        <v>26.044440608987944</v>
      </c>
      <c r="E141" s="201">
        <f>+E144*E142</f>
        <v>30.894690608987851</v>
      </c>
      <c r="F141" s="201">
        <f>+F144*F142</f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>+D$56+D$57+  IF(   $H$24&gt;0, -$H$24+D$55, -$H$24   )</f>
        <v>551.44399999999996</v>
      </c>
      <c r="E142" s="202">
        <f>+E$56+E$57+  IF(   $H$24&gt;0, -$H$24+E$55, -$H$24   )</f>
        <v>552.31899999999996</v>
      </c>
      <c r="F142" s="202">
        <f>+F$56+F$57+  IF(   $H$24&gt;0, -$H$24+F$55, -$H$24   )</f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>+ABS(D$42/2-(D139-D137)/D142)</f>
        <v>8.7500216409111653E-2</v>
      </c>
      <c r="E143" s="202">
        <f>+ABS(E$42/2-(E139-E137)/E142)</f>
        <v>0.10133721515556426</v>
      </c>
      <c r="F143" s="202">
        <f>+ABS(F$42/2-(F139-F137)/F142)</f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>+ABS(D$42/2-(D138-D136)/D142)</f>
        <v>4.7229529397342151E-2</v>
      </c>
      <c r="E144" s="202">
        <f>+ABS(E$42/2-(E138-E136)/E142)</f>
        <v>5.593631689112244E-2</v>
      </c>
      <c r="F144" s="202">
        <f>+ABS(F$42/2-(F138-F136)/F142)</f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>+D$42/6</f>
        <v>0.5</v>
      </c>
      <c r="E145" s="201">
        <f>+E$42/6</f>
        <v>0.5</v>
      </c>
      <c r="F145" s="201">
        <f>+F$42/6</f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>+(D142/D$42^2)*(1+6*D143/D$42+6*D144/D$42)</f>
        <v>77.781757765887576</v>
      </c>
      <c r="E147" s="17">
        <f>+(E142/E$42^2)*(1+6*E143/E$42+6*E144/E$42)</f>
        <v>80.672146654776427</v>
      </c>
      <c r="F147" s="17">
        <f>+(F142/F$42^2)*(1+6*F143/F$42+6*F144/F$42)</f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>+(D142/D$42^2)*(1+6*D143/D$42-6*D144/D$42)</f>
        <v>66.206450828559596</v>
      </c>
      <c r="E148" s="5">
        <f>+(E142/E$42^2)*(1+6*E143/E$42-6*E144/E$42)</f>
        <v>66.941173050781828</v>
      </c>
      <c r="F148" s="5">
        <f>+(F142/F$42^2)*(1+6*F143/F$42-6*F144/F$42)</f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>+(D142/D$42^2)*(1-6*D143/D$42+6*D144/D$42)</f>
        <v>56.336660282551499</v>
      </c>
      <c r="E149" s="5">
        <f>+(E142/E$42^2)*(1-6*E143/E$42+6*E144/E$42)</f>
        <v>55.796382504773717</v>
      </c>
      <c r="F149" s="5">
        <f>+(F142/F$42^2)*(1-6*F143/F$42+6*F144/F$42)</f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>+(D142/D$42^2)*(1-6*D143/D$42-6*D144/D$42)</f>
        <v>44.761353345223526</v>
      </c>
      <c r="E150" s="5">
        <f>+(E142/E$42^2)*(1-6*E143/E$42-6*E144/E$42)</f>
        <v>42.065408900779119</v>
      </c>
      <c r="F150" s="5">
        <f>+(F142/F$42^2)*(1-6*F143/F$42-6*F144/F$42)</f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>+$C$6</f>
        <v>100</v>
      </c>
      <c r="E151" s="17">
        <f>+$C$6</f>
        <v>100</v>
      </c>
      <c r="F151" s="17">
        <f>+$C$6</f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>+IF(D147&lt;D151,"OK","NO CUMPLE")</f>
        <v>OK</v>
      </c>
      <c r="E152" s="175" t="str">
        <f>+IF(E147&lt;E151,"OK","NO CUMPLE")</f>
        <v>OK</v>
      </c>
      <c r="F152" s="175" t="str">
        <f>+IF(F147&lt;F151,"OK","NO CUMPLE")</f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>+IF($C$10=1,0,SQRT(2*ABS($G$25)/($C$14*$C$10*D$39)))</f>
        <v>1.7053052054167317</v>
      </c>
      <c r="E154" s="201">
        <f>+IF($C$10=1,0,SQRT(2*ABS($G$25)/($C$14*$C$10*E$39)))</f>
        <v>1.7053052054167317</v>
      </c>
      <c r="F154" s="201">
        <f>+IF($C$10=1,0,SQRT(2*ABS($G$25)/($C$14*$C$10*F$39)))</f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>+IF($C$10=1,0,SQRT(2*ABS($F$25)/($C$14*$C$10*D$39)))</f>
        <v>0.77724849715998101</v>
      </c>
      <c r="E155" s="201">
        <f>+IF($C$10=1,0,SQRT(2*ABS($F$25)/($C$14*$C$10*E$39)))</f>
        <v>0.77724849715998101</v>
      </c>
      <c r="F155" s="201">
        <f>+IF($C$10=1,0,SQRT(2*ABS($F$25)/($C$14*$C$10*F$39)))</f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 t="shared" ref="C156:F157" si="11">+C154^2*$C$10*C$39*$C$14/2</f>
        <v>35.333000000000006</v>
      </c>
      <c r="D156" s="201">
        <f t="shared" si="11"/>
        <v>35.333000000000006</v>
      </c>
      <c r="E156" s="201">
        <f t="shared" si="11"/>
        <v>35.333000000000006</v>
      </c>
      <c r="F156" s="201">
        <f t="shared" si="1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 t="shared" si="11"/>
        <v>7.34</v>
      </c>
      <c r="D157" s="201">
        <f t="shared" si="11"/>
        <v>7.34</v>
      </c>
      <c r="E157" s="201">
        <f t="shared" si="11"/>
        <v>7.34</v>
      </c>
      <c r="F157" s="201">
        <f t="shared" si="11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>+($G$25)*(D$43+D$38)+ IF(   $H$25&gt;0, $H$25,0   )*D$42/2</f>
        <v>123.66549999999999</v>
      </c>
      <c r="E158" s="201">
        <f>+($G$25)*(E$43+E$38)+ IF(   $H$25&gt;0, $H$25,0   )*E$42/2</f>
        <v>132.49875</v>
      </c>
      <c r="F158" s="201">
        <f>+($G$25)*(F$43+F$38)+ IF(   $H$25&gt;0, $H$25,0   )*F$42/2</f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>+($F$25)*(D$43+D$38)+ IF(   $H$25&gt;0, $H$25,0   )*D$42/2</f>
        <v>25.689999999999998</v>
      </c>
      <c r="E159" s="201">
        <f>+($F$25)*(E$43+E$38)+ IF(   $H$25&gt;0, $H$25,0   )*E$42/2</f>
        <v>27.524999999999999</v>
      </c>
      <c r="F159" s="201">
        <f>+($F$25)*(F$43+F$38)+ IF(   $H$25&gt;0, $H$25,0   )*F$42/2</f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>+(D$56+D$57+  IF(   $H$25&gt;0,+D$55, -$H$25   )  )*D$42/2 + D156*(D$43-2/3*D154)</f>
        <v>1732.5414674513406</v>
      </c>
      <c r="E160" s="201">
        <f>+(E$56+E$57+  IF(   $H$25&gt;0,+E$55, -$H$25   )  )*E$42/2 + E156*(E$43-2/3*E154)</f>
        <v>1733.8539674513406</v>
      </c>
      <c r="F160" s="201">
        <f>+(F$56+F$57+  IF(   $H$25&gt;0,+F$55, -$H$25   )  )*F$42/2 + F156*(F$43-2/3*F154)</f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>+(D$56+D$57+   IF(   $H$25&gt;0, +D$55, -$H$25   )    )*D$42/2+D157*(D$43-2/3*D155)</f>
        <v>1684.9281640205641</v>
      </c>
      <c r="E161" s="201">
        <f>+(E$56+E$57+   IF(   $H$25&gt;0, +E$55, -$H$25   )    )*E$42/2+E157*(E$43-2/3*E155)</f>
        <v>1686.2406640205641</v>
      </c>
      <c r="F161" s="201">
        <f>+(F$56+F$57+   IF(   $H$25&gt;0, +F$55, -$H$25   )    )*F$42/2+F157*(F$43-2/3*F155)</f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>+D165*D164</f>
        <v>7.4733359794360616</v>
      </c>
      <c r="E162" s="201">
        <f>+E165*E164</f>
        <v>9.308335979436162</v>
      </c>
      <c r="F162" s="201">
        <f>+F165*F164</f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>+D166*D164</f>
        <v>57.835532548659508</v>
      </c>
      <c r="E163" s="201">
        <f>+E166*E164</f>
        <v>66.66878254865955</v>
      </c>
      <c r="F163" s="201">
        <f>+F166*F164</f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>+D$56+D$57+  IF(   $H$25&gt;0, -$H$25+D$55, -$H$25   )</f>
        <v>1111.1410000000001</v>
      </c>
      <c r="E164" s="202">
        <f>+E$56+E$57+  IF(   $H$25&gt;0, -$H$25+E$55, -$H$25   )</f>
        <v>1112.0160000000001</v>
      </c>
      <c r="F164" s="202">
        <f>+F$56+F$57+  IF(   $H$25&gt;0, -$H$25+F$55, -$H$25   )</f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>+ABS(D$42/2-(D161-D159)/D164)</f>
        <v>6.7258214568952646E-3</v>
      </c>
      <c r="E165" s="202">
        <f>+ABS(E$42/2-(E161-E159)/E164)</f>
        <v>8.3706852953879807E-3</v>
      </c>
      <c r="F165" s="202">
        <f>+ABS(F$42/2-(F161-F159)/F164)</f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>+ABS(D$42/2-(D160-D158)/D164)</f>
        <v>5.2050579133214869E-2</v>
      </c>
      <c r="E166" s="202">
        <f>+ABS(E$42/2-(E160-E158)/E164)</f>
        <v>5.9953078506657764E-2</v>
      </c>
      <c r="F166" s="202">
        <f>+ABS(F$42/2-(F160-F158)/F164)</f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>+D$42/6</f>
        <v>0.5</v>
      </c>
      <c r="E167" s="201">
        <f>+E$42/6</f>
        <v>0.5</v>
      </c>
      <c r="F167" s="201">
        <f>+F$42/6</f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>+(D164/D$42^2)*(1+6*D165/D$42+6*D166/D$42)</f>
        <v>137.97319300624346</v>
      </c>
      <c r="E169" s="17">
        <f>+(E164/E$42^2)*(1+6*E165/E$42+6*E166/E$42)</f>
        <v>140.44113745068796</v>
      </c>
      <c r="F169" s="17">
        <f>+(F164/F$42^2)*(1+6*F165/F$42+6*F166/F$42)</f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>+(D164/D$42^2)*(1+6*D165/D$42-6*D166/D$42)</f>
        <v>112.26851187350591</v>
      </c>
      <c r="E170" s="5">
        <f>+(E164/E$42^2)*(1+6*E165/E$42-6*E166/E$42)</f>
        <v>110.81056742906148</v>
      </c>
      <c r="F170" s="5">
        <f>+(F164/F$42^2)*(1+6*F165/F$42-6*F166/F$42)</f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>+(D164/D$42^2)*(1-6*D165/D$42+6*D166/D$42)</f>
        <v>134.65171034871634</v>
      </c>
      <c r="E171" s="5">
        <f>+(E164/E$42^2)*(1-6*E165/E$42+6*E166/E$42)</f>
        <v>136.30409923760521</v>
      </c>
      <c r="F171" s="5">
        <f>+(F164/F$42^2)*(1-6*F165/F$42+6*F166/F$42)</f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>+(D164/D$42^2)*(1-6*D165/D$42-6*D166/D$42)</f>
        <v>108.94702921597877</v>
      </c>
      <c r="E172" s="5">
        <f>+(E164/E$42^2)*(1-6*E165/E$42-6*E166/E$42)</f>
        <v>106.67352921597875</v>
      </c>
      <c r="F172" s="5">
        <f>+(F164/F$42^2)*(1-6*F165/F$42-6*F166/F$42)</f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>+$C$6</f>
        <v>100</v>
      </c>
      <c r="E173" s="17">
        <f>+$C$6</f>
        <v>100</v>
      </c>
      <c r="F173" s="17">
        <f>+$C$6</f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>+IF(D169&lt;D173,"OK","NO CUMPLE")</f>
        <v>NO CUMPLE</v>
      </c>
      <c r="E174" s="175" t="str">
        <f>+IF(E169&lt;E173,"OK","NO CUMPLE")</f>
        <v>NO CUMPLE</v>
      </c>
      <c r="F174" s="175" t="str">
        <f>+IF(F169&lt;F173,"OK","NO CUMPLE")</f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>+IF($C$10=1,0,SQRT(2*ABS(INDEX($F$30:$H$33,D$177,   2    ))/($C$14*$C$10*D$39)))</f>
        <v>2.088563804491522</v>
      </c>
      <c r="E178" s="201">
        <f>+IF($C$10=1,0,SQRT(2*ABS(INDEX($F$30:$H$33,E$177,   2    ))/($C$14*$C$10*E$39)))</f>
        <v>2.088563804491522</v>
      </c>
      <c r="F178" s="201">
        <f>+IF($C$10=1,0,SQRT(2*ABS(INDEX($F$30:$H$33,F$177,   2    ))/($C$14*$C$10*F$39)))</f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>+IF($C$10=1,0,SQRT(2*ABS(INDEX($F$30:$H$33,D$177,       1))/($C$14*$C$10*D$39)))</f>
        <v>0.95193111069350678</v>
      </c>
      <c r="E179" s="201">
        <f>+IF($C$10=1,0,SQRT(2*ABS(INDEX($F$30:$H$33,E$177,       1))/($C$14*$C$10*E$39)))</f>
        <v>0.95193111069350678</v>
      </c>
      <c r="F179" s="201">
        <f>+IF($C$10=1,0,SQRT(2*ABS(INDEX($F$30:$H$33,F$177,       1))/($C$14*$C$10*F$39)))</f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 t="shared" ref="C180:F181" si="12">+C178^2*$C$10*C$39*$C$14/2</f>
        <v>52.999499999999983</v>
      </c>
      <c r="D180" s="201">
        <f t="shared" si="12"/>
        <v>52.999499999999983</v>
      </c>
      <c r="E180" s="201">
        <f t="shared" si="12"/>
        <v>52.999499999999983</v>
      </c>
      <c r="F180" s="201">
        <f t="shared" si="12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 t="shared" si="12"/>
        <v>11.01</v>
      </c>
      <c r="D181" s="201">
        <f t="shared" si="12"/>
        <v>11.01</v>
      </c>
      <c r="E181" s="201">
        <f t="shared" si="12"/>
        <v>11.01</v>
      </c>
      <c r="F181" s="201">
        <f t="shared" si="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>+(INDEX($F$30:$H$33,D$177,       2))*(D$43+D$38)+ IF(   INDEX($F$30:$H$33,D$177,       3)&gt;0, INDEX($F$30:$H$33,D$177,       3),0   )*D$42/2</f>
        <v>185.49824999999998</v>
      </c>
      <c r="E182" s="201">
        <f>+(INDEX($F$30:$H$33,E$177,       2))*(E$43+E$38)+ IF(   INDEX($F$30:$H$33,E$177,       3)&gt;0, INDEX($F$30:$H$33,E$177,       3),0   )*E$42/2</f>
        <v>198.74812499999999</v>
      </c>
      <c r="F182" s="201">
        <f>+(INDEX($F$30:$H$33,F$177,       2))*(F$43+F$38)+ IF(   INDEX($F$30:$H$33,F$177,       3)&gt;0, INDEX($F$30:$H$33,F$177,       3),0   )*F$42/2</f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>+(INDEX($F$30:$H$33,D$177,       1))*(D$43+D$38)+ IF(   INDEX($F$30:$H$33,D$177,       3)&gt;0, INDEX($F$30:$H$33,D$177,       3),0   )*D$42/2</f>
        <v>38.534999999999997</v>
      </c>
      <c r="E183" s="201">
        <f>+(INDEX($F$30:$H$33,E$177,       1))*(E$43+E$38)+ IF(   INDEX($F$30:$H$33,E$177,       3)&gt;0, INDEX($F$30:$H$33,E$177,       3),0   )*E$42/2</f>
        <v>41.287500000000001</v>
      </c>
      <c r="F183" s="201">
        <f>+(INDEX($F$30:$H$33,F$177,       1))*(F$43+F$38)+ IF(   INDEX($F$30:$H$33,F$177,       3)&gt;0, INDEX($F$30:$H$33,F$177,       3),0   )*F$42/2</f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>+(D$56+D$57+  IF(   INDEX($F$30:$H$33,D$177,       3)&gt;0,+D$55, -INDEX($F$30:$H$33,D$177,       3)   )  )*D$42/2 + D180*(D$43-2/3*D178)</f>
        <v>2262.9205250959012</v>
      </c>
      <c r="E184" s="201">
        <f>+(E$56+E$57+  IF(   INDEX($F$30:$H$33,E$177,       3)&gt;0,+E$55, -INDEX($F$30:$H$33,E$177,       3)   )  )*E$42/2 + E180*(E$43-2/3*E178)</f>
        <v>2264.2330250959012</v>
      </c>
      <c r="F184" s="201">
        <f>+(F$56+F$57+  IF(   INDEX($F$30:$H$33,F$177,       3)&gt;0,+F$55, -INDEX($F$30:$H$33,F$177,       3)   )  )*F$42/2 + F180*(F$43-2/3*F178)</f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>+(D$56+D$57+   IF(   INDEX($F$30:$H$33,D$177,       3)&gt;0, +D$55, -INDEX($F$30:$H$33,D$177,       3)   )    )*D$42/2+D181*(D$43-2/3*D179)</f>
        <v>2203.7600756475099</v>
      </c>
      <c r="E185" s="201">
        <f>+(E$56+E$57+   IF(   INDEX($F$30:$H$33,E$177,       3)&gt;0, +E$55, -INDEX($F$30:$H$33,E$177,       3)   )    )*E$42/2+E181*(E$43-2/3*E179)</f>
        <v>2205.0725756475099</v>
      </c>
      <c r="F185" s="201">
        <f>+(F$56+F$57+   IF(   INDEX($F$30:$H$33,F$177,       3)&gt;0, +F$55, -INDEX($F$30:$H$33,F$177,       3)   )    )*F$42/2+F181*(F$43-2/3*F179)</f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>+D189*D188</f>
        <v>12.492174352489963</v>
      </c>
      <c r="E186" s="201">
        <f>+E189*E188</f>
        <v>15.244674352490177</v>
      </c>
      <c r="F186" s="201">
        <f>+F189*F188</f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>+D190*D188</f>
        <v>100.29497490409888</v>
      </c>
      <c r="E187" s="201">
        <f>+E190*E188</f>
        <v>113.54484990409877</v>
      </c>
      <c r="F187" s="201">
        <f>+F190*F188</f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>+D$56+D$57+  IF(   INDEX($F$30:$H$33,D$177,       3)&gt;0, -INDEX($F$30:$H$33,D$177,       3)+D$55, -INDEX($F$30:$H$33,D$177,       3)   )</f>
        <v>1451.8115</v>
      </c>
      <c r="E188" s="202">
        <f>+E$56+E$57+  IF(   INDEX($F$30:$H$33,E$177,       3)&gt;0, -INDEX($F$30:$H$33,E$177,       3)+E$55, -INDEX($F$30:$H$33,E$177,       3)   )</f>
        <v>1452.6865</v>
      </c>
      <c r="F188" s="202">
        <f>+F$56+F$57+  IF(   INDEX($F$30:$H$33,F$177,       3)&gt;0, -INDEX($F$30:$H$33,F$177,       3)+F$55, -INDEX($F$30:$H$33,F$177,       3)   )</f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>+ABS(D$42/2-(D185-D183)/D188)</f>
        <v>8.604542912416635E-3</v>
      </c>
      <c r="E189" s="202">
        <f>+ABS(E$42/2-(E185-E183)/E188)</f>
        <v>1.0494125437587654E-2</v>
      </c>
      <c r="F189" s="202">
        <f>+ABS(F$42/2-(F185-F183)/F188)</f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>+ABS(D$42/2-(D184-D182)/D188)</f>
        <v>6.9082642549737949E-2</v>
      </c>
      <c r="E190" s="202">
        <f>+ABS(E$42/2-(E184-E182)/E188)</f>
        <v>7.8161977759205969E-2</v>
      </c>
      <c r="F190" s="202">
        <f>+ABS(F$42/2-(F184-F182)/F188)</f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>+D$42/6</f>
        <v>0.5</v>
      </c>
      <c r="E191" s="201">
        <f>+E$42/6</f>
        <v>0.5</v>
      </c>
      <c r="F191" s="201">
        <f>+F$42/6</f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>+(D188/D$42^2)*(1+6*D189/D$42+6*D190/D$42)</f>
        <v>186.37619983479755</v>
      </c>
      <c r="E193" s="17">
        <f>+(E188/E$42^2)*(1+6*E189/E$42+6*E190/E$42)</f>
        <v>190.02950539035308</v>
      </c>
      <c r="F193" s="17">
        <f>+(F188/F$42^2)*(1+6*F189/F$42+6*F190/F$42)</f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>+(D188/D$42^2)*(1+6*D189/D$42-6*D190/D$42)</f>
        <v>141.80065543297582</v>
      </c>
      <c r="E194" s="5">
        <f>+(E188/E$42^2)*(1+6*E189/E$42-6*E190/E$42)</f>
        <v>139.5651276551981</v>
      </c>
      <c r="F194" s="5">
        <f>+(F188/F$42^2)*(1+6*F189/F$42-6*F190/F$42)</f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>+(D188/D$42^2)*(1-6*D189/D$42+6*D190/D$42)</f>
        <v>180.82412234480199</v>
      </c>
      <c r="E195" s="5">
        <f>+(E188/E$42^2)*(1-6*E189/E$42+6*E190/E$42)</f>
        <v>183.25409456702411</v>
      </c>
      <c r="F195" s="5">
        <f>+(F188/F$42^2)*(1-6*F189/F$42+6*F190/F$42)</f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>+(D188/D$42^2)*(1-6*D189/D$42-6*D190/D$42)</f>
        <v>136.24857794298026</v>
      </c>
      <c r="E196" s="5">
        <f>+(E188/E$42^2)*(1-6*E189/E$42-6*E190/E$42)</f>
        <v>132.78971683186913</v>
      </c>
      <c r="F196" s="5">
        <f>+(F188/F$42^2)*(1-6*F189/F$42-6*F190/F$42)</f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>AVERAGE(D196,D193)-$C$14*D$43</f>
        <v>112.71238888888891</v>
      </c>
      <c r="E197" s="5">
        <f>AVERAGE(E196,E193)-$C$14*E$43</f>
        <v>112.80961111111111</v>
      </c>
      <c r="F197" s="5">
        <f>AVERAGE(F196,F193)-$C$14*F$43</f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>(D193+MAX(D194,D195))/2</f>
        <v>183.60016108979977</v>
      </c>
      <c r="E198" s="237">
        <f>(E193+MAX(E194,E195))/2</f>
        <v>186.6417999786886</v>
      </c>
      <c r="F198" s="237">
        <f>(F193+MAX(F194,F195))/2</f>
        <v>193.33340553424421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>+(E$39+E$46)*4</f>
        <v>3.3</v>
      </c>
      <c r="F203" s="16">
        <f>+(F$39+F$46)*4</f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>+E207*1000*E$203*E$46</f>
        <v>1228.7031082100345</v>
      </c>
      <c r="F205" s="16">
        <f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>+MIN(E208:E210)</f>
        <v>1.14564392373896</v>
      </c>
      <c r="F207" s="16">
        <f>+MIN(F208:F210)</f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>0.75*SQRT($C$16)/3</f>
        <v>1.14564392373896</v>
      </c>
      <c r="F208" s="16">
        <f>0.75*SQRT($C$16)/3</f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>0.75*0.17*(1+2/1)*SQRT($C$16)</f>
        <v>1.7528352033206087</v>
      </c>
      <c r="F209" s="16">
        <f>0.75*0.17*(1+2/1)*SQRT($C$16)</f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>0.75*SQRT($C$16)*0.083*(40*E$46/(E$203)+2)</f>
        <v>1.6943032137623093</v>
      </c>
      <c r="F210" s="16">
        <f>0.75*SQRT($C$16)*0.083*(40*F$46/(F$203)+2)</f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>+(D$198*D$42-$C$12*D$40-$C$14*D$47)*(D$42/2-D$39/2-D$46)</f>
        <v>465.34944702419443</v>
      </c>
      <c r="E212" s="16">
        <f>+(E$198*E$42-$C$12*E$40-$C$14*E$47)*(E$42/2-E$39/2-E$46)</f>
        <v>473.78999494086088</v>
      </c>
      <c r="F212" s="16">
        <f>+(F$198*F$42-$C$12*F$40-$C$14*F$47)*(F$42/2-F$39/2-F$46)</f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>+D215*1000*D$42*D$46</f>
        <v>569.67144107919785</v>
      </c>
      <c r="E213" s="16">
        <f>+E215*1000*E$42*E$46</f>
        <v>569.67144107919785</v>
      </c>
      <c r="F213" s="16">
        <f>+F215*1000*F$42*F$46</f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>+SQRT($C$16)*0.17*0.75</f>
        <v>0.58427840110686968</v>
      </c>
      <c r="E215" s="16">
        <f>+SQRT($C$16)*0.17*0.75</f>
        <v>0.58427840110686968</v>
      </c>
      <c r="F215" s="16">
        <f>+SQRT($C$16)*0.17*0.75</f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>+(D193-D$40*$C$12-(D$47)*$C$14)*D$42  *((D$42-D$39)/2)^2/2</f>
        <v>324.97546836280674</v>
      </c>
      <c r="E219" s="16">
        <f>+(E193-E$40*$C$12-(E$47)*$C$14)*E$42  *((E$42-E$39)/2)^2/2</f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>(D$42-D$45*2)/($G$224-1)</f>
        <v>0.21923076923076923</v>
      </c>
      <c r="E225" s="16">
        <f>(E$42-E$45*2)/($G$224-1)</f>
        <v>0.21923076923076923</v>
      </c>
      <c r="F225" s="16">
        <f>(F$42-F$45*2)/($G$224-1)</f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>+(($H$31-D$57)/(D42)*   ((D42-D39)/2)^2)/2</f>
        <v>221.77369791666663</v>
      </c>
      <c r="E228" s="16">
        <f>+(($H$31-E$57)/(E42)*   ((E42-E39)/2)^2)/2</f>
        <v>221.54583333333329</v>
      </c>
      <c r="F228" s="16">
        <f>+(($H$31-F$57)/(F42)*   ((F42-F39)/2)^2)/2</f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>(D$42-D$45*2)/($G$233-1)</f>
        <v>0.21923076923076923</v>
      </c>
      <c r="E234" s="16">
        <f>(E$42-E$45*2)/($G$233-1)</f>
        <v>0.21923076923076923</v>
      </c>
      <c r="F234" s="16">
        <f>(F$42-F$45*2)/($G$233-1)</f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88" t="s">
        <v>150</v>
      </c>
      <c r="L237" s="388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>($C$30)-(D$263^2*D$264)*24</f>
        <v>-1111.4609999999998</v>
      </c>
      <c r="E240" s="241">
        <f>($C$30)-(E$263^2*E$264)*24</f>
        <v>-1112.9609999999998</v>
      </c>
      <c r="F240" s="241">
        <f>($C$30)-(F$263^2*F$264)*24</f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>+SQRT(ABS($D$30)^2+ABS($E$30)^2)</f>
        <v>38.822642790644743</v>
      </c>
      <c r="E241" s="241">
        <f>+SQRT(ABS($D$30)^2+ABS($E$30)^2)</f>
        <v>38.822642790644743</v>
      </c>
      <c r="F241" s="241">
        <f>+SQRT(ABS($D$30)^2+ABS($E$30)^2)</f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>+$C$241*D$264</f>
        <v>120.35019265099871</v>
      </c>
      <c r="E242" s="241">
        <f>+$C$241*E$264</f>
        <v>130.05585334865989</v>
      </c>
      <c r="F242" s="241">
        <f>+$C$241*F$264</f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xml:space="preserve">    $C$31    -(D$263^2*D$264)*24</f>
        <v>894.26099999999985</v>
      </c>
      <c r="E245" s="241">
        <f xml:space="preserve">    $C$31    -(E$263^2*E$264)*24</f>
        <v>892.76099999999985</v>
      </c>
      <c r="F245" s="241">
        <f xml:space="preserve">    $C$31    -(F$263^2*F$264)*24</f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>+SQRT(ABS($D$31)^2+ABS($E$31)^2)</f>
        <v>26.343918928284001</v>
      </c>
      <c r="E246" s="241">
        <f>+SQRT(ABS($D$31)^2+ABS($E$31)^2)</f>
        <v>26.343918928284001</v>
      </c>
      <c r="F246" s="241">
        <f>+SQRT(ABS($D$31)^2+ABS($E$31)^2)</f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>+$C$246*D$264</f>
        <v>81.666148677680411</v>
      </c>
      <c r="E247" s="241">
        <f>+$C$246*E$264</f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>$C$32-(D$263^2*D$264)*24</f>
        <v>-201.066</v>
      </c>
      <c r="E250" s="241">
        <f>$C$32-(E$263^2*E$264)*24</f>
        <v>-202.566</v>
      </c>
      <c r="F250" s="241">
        <f>$C$32-(F$263^2*F$264)*24</f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>+SQRT(ABS($D$32)^2+ABS($E$32)^2)</f>
        <v>54.698116039311628</v>
      </c>
      <c r="E251" s="241">
        <f>+SQRT(ABS($D$32)^2+ABS($E$32)^2)</f>
        <v>54.698116039311628</v>
      </c>
      <c r="F251" s="241">
        <f>+SQRT(ABS($D$32)^2+ABS($E$32)^2)</f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>+$C$251*D$264</f>
        <v>169.56415972186605</v>
      </c>
      <c r="E252" s="241">
        <f>+$C$251*E$264</f>
        <v>183.23868873169397</v>
      </c>
      <c r="F252" s="241">
        <f>+$C$251*F$264</f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>$C$33-(D$263^2*D$264)*24</f>
        <v>-1040.6115</v>
      </c>
      <c r="E255" s="241">
        <f>$C$33-(E$263^2*E$264)*24</f>
        <v>-1042.1115</v>
      </c>
      <c r="F255" s="241">
        <f>$C$33-(F$263^2*F$264)*24</f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>+SQRT(ABS($D$33)^2+ABS($E$33)^2)</f>
        <v>54.131017912560999</v>
      </c>
      <c r="E256" s="241">
        <f>+SQRT(ABS($D$33)^2+ABS($E$33)^2)</f>
        <v>54.131017912560999</v>
      </c>
      <c r="F256" s="16">
        <f>+SQRT(ABS($D$33)^2+ABS($E$33)^2)</f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>+$C$256*D$264</f>
        <v>167.80615552893912</v>
      </c>
      <c r="E257" s="241">
        <f>+$C$256*E$264</f>
        <v>181.33891000707936</v>
      </c>
      <c r="F257" s="16">
        <f>+$C$256*F$264</f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69" t="s">
        <v>162</v>
      </c>
      <c r="C259" s="370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>D263^4/12</f>
        <v>5.208333333333333E-3</v>
      </c>
      <c r="E268" s="6">
        <f>E263^4/12</f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>0.3*D263</f>
        <v>0.15</v>
      </c>
      <c r="E271" s="5">
        <f>0.3*E263</f>
        <v>0.15</v>
      </c>
      <c r="F271" s="5">
        <f>0.3*F263</f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>+IF(D273&gt;22,"Revisar","OK")</f>
        <v>Revisar</v>
      </c>
      <c r="E274" s="16" t="str">
        <f>+IF(E273&gt;22,"Revisar","OK")</f>
        <v>Revisar</v>
      </c>
      <c r="F274" s="16" t="str">
        <f>+IF(F273&gt;22,"Revisar","OK")</f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69" t="s">
        <v>179</v>
      </c>
      <c r="C278" s="370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>+IF(D240&lt;0,D$279/(1-ABS(D240)/(0.75*D$280)),"No Aplica")</f>
        <v>1.2935063280468628</v>
      </c>
      <c r="E282" s="16">
        <f>+IF(E240&lt;0,E$279/(1-ABS(E240)/(0.75*E$280)),"No Aplica")</f>
        <v>1.3611717605301445</v>
      </c>
      <c r="F282" s="16">
        <f>+IF(F240&lt;0,F$279/(1-ABS(F240)/(0.75*F$280)),"No Aplica")</f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>+IF(D245&lt;0,D$279/(1-ABS(D245)/(0.75*D$280)),"No Aplica")</f>
        <v>No Aplica</v>
      </c>
      <c r="E283" s="16" t="str">
        <f>+IF(E245&lt;0,E$279/(1-ABS(E245)/(0.75*E$280)),"No Aplica")</f>
        <v>No Aplica</v>
      </c>
      <c r="F283" s="16" t="str">
        <f>+IF(F245&lt;0,F$279/(1-ABS(F245)/(0.75*F$280)),"No Aplica")</f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>+IF(D250&lt;0,D$279/(1-ABS(D250)/(0.75*D$280)),"No Aplica")</f>
        <v>1.0428051978242132</v>
      </c>
      <c r="E284" s="16">
        <f>+IF(E250&lt;0,E$279/(1-ABS(E250)/(0.75*E$280)),"No Aplica")</f>
        <v>1.0507439609807734</v>
      </c>
      <c r="F284" s="16">
        <f>+IF(F250&lt;0,F$279/(1-ABS(F250)/(0.75*F$280)),"No Aplica")</f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>+IF(D255&lt;0,D$279/(1-ABS(D255)/(0.75*D$280)),"No Aplica")</f>
        <v>1.2697500570131488</v>
      </c>
      <c r="E285" s="16">
        <f>+IF(E255&lt;0,E$279/(1-ABS(E255)/(0.75*E$280)),"No Aplica")</f>
        <v>1.3305795076750957</v>
      </c>
      <c r="F285" s="16">
        <f>+IF(F255&lt;0,F$279/(1-ABS(F255)/(0.75*F$280)),"No Aplica")</f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>+IF(D240&lt;0,D$282*D$242,D242)</f>
        <v>155.67373577572587</v>
      </c>
      <c r="E289" s="5">
        <f>+IF(E240&lt;0,E$282*E$242,E242)</f>
        <v>177.02835486984569</v>
      </c>
      <c r="F289" s="5">
        <f>+IF(F240&lt;0,F$282*F$242,F242)</f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>+IF(D245&lt;0,D$282*D247,D247)</f>
        <v>81.666148677680411</v>
      </c>
      <c r="E291" s="5">
        <f>+IF(E245&lt;0,E$282*E247,E247)</f>
        <v>88.252128409751407</v>
      </c>
      <c r="F291" s="5">
        <f>+IF(F245&lt;0,F$282*F247,F247)</f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>+IF(D250&lt;0,D$284*D$252,D252)</f>
        <v>176.82238712265701</v>
      </c>
      <c r="E293" s="5">
        <f>+IF(E250&lt;0,E$284*E$252,E252)</f>
        <v>192.53694560286311</v>
      </c>
      <c r="F293" s="5">
        <f>+IF(F250&lt;0,F$284*F$252,F252)</f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>+IF(D255&lt;0,D$285*D257,D257)</f>
        <v>213.07187555002776</v>
      </c>
      <c r="E295" s="5">
        <f>+IF(E255&lt;0,E$285*E257,E257)</f>
        <v>241.28583759955814</v>
      </c>
      <c r="F295" s="5">
        <f>+IF(F255&lt;0,F$285*F257,F257)</f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12.495010757229162</v>
      </c>
      <c r="D304" s="16">
        <f>+IF(D240&lt;0,-D$240*D$298/1000,"Noaplica")</f>
        <v>15.279068074245979</v>
      </c>
      <c r="E304" s="16">
        <f>+IF(E240&lt;0,-E$240*E$298/1000,"Noaplica")</f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>+IF(D245&lt;0,-D$245*D$299/1000,"No aplica")</f>
        <v>No aplica</v>
      </c>
      <c r="E305" s="16" t="str">
        <f>+IF(E245&lt;0,-E$245*E$299/1000,"No aplica")</f>
        <v>No aplica</v>
      </c>
      <c r="F305" s="16" t="str">
        <f>+IF(F245&lt;0,-F$245*F$299/1000,"No aplica")</f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>+IF(D250&lt;0,-D$250*D$300/1000,"No aplica")</f>
        <v>3.8942923178642563</v>
      </c>
      <c r="E306" s="16">
        <f>+IF(E250&lt;0,-E$250*E$300/1000,"No aplica")</f>
        <v>4.9511467823920174</v>
      </c>
      <c r="F306" s="16">
        <f>+IF(F250&lt;0,-F$250*F$300/1000,"No aplica")</f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>+IF(D255&lt;0,-D$255*D$301/1000,"No aplica")</f>
        <v>19.945841173354172</v>
      </c>
      <c r="E307" s="16">
        <f>+IF(E255&lt;0,-E$255*E$301/1000,"No aplica")</f>
        <v>25.207354177643282</v>
      </c>
      <c r="F307" s="16">
        <f>+IF(F255&lt;0,-F$255*F$301/1000,"No aplica")</f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>+IF(D$274&lt;&gt;"OK",      IF(D240&lt;0,D289+D304,D242),D242)</f>
        <v>170.95280384997184</v>
      </c>
      <c r="E310" s="5">
        <f>+IF(E$274&lt;&gt;"OK",      IF(E240&lt;0,E289+E304,E242),E242)</f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>+IF(D$274&lt;&gt;"OK",      IF(D245&lt;0,D291+D305,D247), D247)</f>
        <v>81.666148677680411</v>
      </c>
      <c r="E311" s="5">
        <f>+IF(E$274&lt;&gt;"OK",      IF(E245&lt;0,E291+E305,E247), E247)</f>
        <v>88.252128409751407</v>
      </c>
      <c r="F311" s="5">
        <f>+IF(F$274&lt;&gt;"OK",      IF(F245&lt;0,F291+F305,F247), F247)</f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>+IF(D$274&lt;&gt;"OK",      IF(D250&lt;0,D293+D306,D252), D252)</f>
        <v>180.71667944052126</v>
      </c>
      <c r="E312" s="5">
        <f>+IF(E$274&lt;&gt;"OK",      IF(E250&lt;0,E293+E306,E252), E252)</f>
        <v>197.48809238525513</v>
      </c>
      <c r="F312" s="5">
        <f>+IF(F$274&lt;&gt;"OK",      IF(F250&lt;0,F293+F306,F252), F252)</f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>+IF(D$274&lt;&gt;"OK",      IF(D255&lt;0,D295+D307,D257), D257)</f>
        <v>233.01771672338194</v>
      </c>
      <c r="E313" s="5">
        <f>+IF(E$274&lt;&gt;"OK",      IF(E255&lt;0,E295+E307,E257), E257)</f>
        <v>266.49319177720145</v>
      </c>
      <c r="F313" s="5">
        <f>+IF(F$274&lt;&gt;"OK",      IF(F255&lt;0,F295+F307,F257), F257)</f>
        <v>358.69678124699402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>IFERROR(IF(E322&lt;0,(ABS(E322)*100/(0.9*E$266*10))+(0.85*$C$16/$C$15*(1-
SQRT((1-2*$C$15/0.85/$C$16*((E310/0.9/E$39/(E$39*0.8-E$45)^2)/1000)/$C$15))
))*E$39*(0.8*E$39-E$45)*2*100*100,"No aplica"),
"Aumentar D")</f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7.25">
      <c r="B327" s="1" t="s">
        <v>227</v>
      </c>
      <c r="C327" s="220" t="str">
        <f t="shared" ref="C327:F329" si="13"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si="13"/>
        <v>No aplica</v>
      </c>
      <c r="E327" s="220" t="str">
        <f t="shared" si="13"/>
        <v>No aplica</v>
      </c>
      <c r="F327" s="220" t="str">
        <f t="shared" si="13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7.25">
      <c r="B328" s="1" t="s">
        <v>228</v>
      </c>
      <c r="C328" s="220">
        <f t="shared" si="13"/>
        <v>35.997793565604589</v>
      </c>
      <c r="D328" s="220">
        <f t="shared" si="13"/>
        <v>38.796961212451748</v>
      </c>
      <c r="E328" s="220">
        <f t="shared" si="13"/>
        <v>42.504801844233342</v>
      </c>
      <c r="F328" s="220">
        <f t="shared" si="13"/>
        <v>51.680328310725955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 t="shared" si="13"/>
        <v>67.260990893853119</v>
      </c>
      <c r="D329" s="220">
        <f t="shared" si="13"/>
        <v>72.924243205331265</v>
      </c>
      <c r="E329" s="220">
        <f t="shared" si="13"/>
        <v>81.471928225341301</v>
      </c>
      <c r="F329" s="220">
        <f t="shared" si="13"/>
        <v>111.49833626910255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>+D333*(D263*100)^2</f>
        <v>12.5</v>
      </c>
      <c r="E330" s="222">
        <f>+E333*(E263*100)^2</f>
        <v>12.5</v>
      </c>
      <c r="F330" s="222">
        <f>+F333*(F263*100)^2</f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67.260990893853119</v>
      </c>
      <c r="D331" s="220">
        <f>+MAX(D326:D330)</f>
        <v>72.924243205331265</v>
      </c>
      <c r="E331" s="220">
        <f>+MAX(E326:E330)</f>
        <v>81.471928225341301</v>
      </c>
      <c r="F331" s="220">
        <f>+MAX(F326:F330)</f>
        <v>111.49833626910255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>+D$263^2*10000</f>
        <v>2500</v>
      </c>
      <c r="E332" s="5">
        <f>+E$263^2*10000</f>
        <v>2500</v>
      </c>
      <c r="F332" s="5">
        <f>+F$263^2*10000</f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>+ROUNDUP(D331/VLOOKUP(D335,$K$238:$L$243,2,FALSE)/4,0)*4</f>
        <v>16</v>
      </c>
      <c r="E336" s="240">
        <f>+ROUNDUP(E331/VLOOKUP(E335,$K$238:$L$243,2,FALSE)/4,0)*4</f>
        <v>16</v>
      </c>
      <c r="F336" s="240">
        <f>+ROUNDUP(F331/VLOOKUP(F335,$K$238:$L$243,2,FALSE)/4,0)*4</f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 t="shared" ref="D340:F341" si="14">+C340</f>
        <v>0.3</v>
      </c>
      <c r="E340" s="221">
        <f t="shared" si="14"/>
        <v>0.3</v>
      </c>
      <c r="F340" s="221">
        <f t="shared" si="14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 t="shared" si="14"/>
        <v>No. 4</v>
      </c>
      <c r="E341" s="221" t="str">
        <f t="shared" si="14"/>
        <v>No. 4</v>
      </c>
      <c r="F341" s="221" t="str">
        <f t="shared" si="14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>MAX(0.35, 0.062*SQRT(D265))*(D$263*1000)*(D$340*1000)/D$266* (1/100)</f>
        <v>1.25</v>
      </c>
      <c r="E343" s="5">
        <f>MAX(0.35, 0.062*SQRT(E265))*(E$263*1000)*(E$340*1000)/E$266* (1/100)</f>
        <v>1.25</v>
      </c>
      <c r="F343" s="5">
        <f>MAX(0.35, 0.062*SQRT(F265))*(F$263*1000)*(F$340*1000)/F$266* (1/100)</f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>+ROUNDUP((D$41-D$45)/D340,0)+1</f>
        <v>12</v>
      </c>
      <c r="E344" s="240">
        <f>+ROUNDUP((E$41-E$45)/E340,0)+1</f>
        <v>12</v>
      </c>
      <c r="F344" s="240">
        <f>+ROUNDUP((F$41-F$45)/F340,0)+1</f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>+IF(E$347&gt;MAX(E316:H319),"OK","NO CUMPLE")</f>
        <v>OK</v>
      </c>
      <c r="F348" s="281" t="str">
        <f>+IF(F$347&gt;MAX(F316:I319),"OK","NO CUMPLE")</f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89" t="s">
        <v>246</v>
      </c>
      <c r="B350" s="392"/>
      <c r="C350" s="393"/>
      <c r="D350" s="393"/>
      <c r="E350" s="393"/>
      <c r="F350" s="393"/>
      <c r="G350" s="394"/>
      <c r="H350" s="28"/>
    </row>
    <row r="351" spans="1:15">
      <c r="A351" s="390"/>
      <c r="B351" s="395"/>
      <c r="C351" s="381"/>
      <c r="D351" s="381"/>
      <c r="E351" s="381"/>
      <c r="F351" s="381"/>
      <c r="G351" s="396"/>
      <c r="H351" s="28"/>
    </row>
    <row r="352" spans="1:15">
      <c r="A352" s="390"/>
      <c r="B352" s="395"/>
      <c r="C352" s="381"/>
      <c r="D352" s="381"/>
      <c r="E352" s="381"/>
      <c r="F352" s="381"/>
      <c r="G352" s="396"/>
      <c r="H352" s="28"/>
    </row>
    <row r="353" spans="1:8">
      <c r="A353" s="390"/>
      <c r="B353" s="395"/>
      <c r="C353" s="381"/>
      <c r="D353" s="381"/>
      <c r="E353" s="381"/>
      <c r="F353" s="381"/>
      <c r="G353" s="396"/>
      <c r="H353" s="28"/>
    </row>
    <row r="354" spans="1:8">
      <c r="A354" s="390"/>
      <c r="B354" s="395"/>
      <c r="C354" s="381"/>
      <c r="D354" s="381"/>
      <c r="E354" s="381"/>
      <c r="F354" s="381"/>
      <c r="G354" s="396"/>
      <c r="H354" s="28"/>
    </row>
    <row r="355" spans="1:8">
      <c r="A355" s="390"/>
      <c r="B355" s="395"/>
      <c r="C355" s="381"/>
      <c r="D355" s="381"/>
      <c r="E355" s="381"/>
      <c r="F355" s="381"/>
      <c r="G355" s="396"/>
      <c r="H355" s="28"/>
    </row>
    <row r="356" spans="1:8">
      <c r="A356" s="390"/>
      <c r="B356" s="395"/>
      <c r="C356" s="381"/>
      <c r="D356" s="381"/>
      <c r="E356" s="381"/>
      <c r="F356" s="381"/>
      <c r="G356" s="396"/>
      <c r="H356" s="28"/>
    </row>
    <row r="357" spans="1:8">
      <c r="A357" s="390"/>
      <c r="B357" s="395"/>
      <c r="C357" s="381"/>
      <c r="D357" s="381"/>
      <c r="E357" s="381"/>
      <c r="F357" s="381"/>
      <c r="G357" s="396"/>
      <c r="H357" s="28"/>
    </row>
    <row r="358" spans="1:8">
      <c r="A358" s="390"/>
      <c r="B358" s="395"/>
      <c r="C358" s="381"/>
      <c r="D358" s="381"/>
      <c r="E358" s="381"/>
      <c r="F358" s="381"/>
      <c r="G358" s="396"/>
      <c r="H358" s="28"/>
    </row>
    <row r="359" spans="1:8">
      <c r="A359" s="390"/>
      <c r="B359" s="395"/>
      <c r="C359" s="381"/>
      <c r="D359" s="381"/>
      <c r="E359" s="381"/>
      <c r="F359" s="381"/>
      <c r="G359" s="396"/>
      <c r="H359" s="28"/>
    </row>
    <row r="360" spans="1:8">
      <c r="A360" s="390"/>
      <c r="B360" s="395"/>
      <c r="C360" s="381"/>
      <c r="D360" s="381"/>
      <c r="E360" s="381"/>
      <c r="F360" s="381"/>
      <c r="G360" s="396"/>
      <c r="H360" s="28"/>
    </row>
    <row r="361" spans="1:8">
      <c r="A361" s="390"/>
      <c r="B361" s="395"/>
      <c r="C361" s="381"/>
      <c r="D361" s="381"/>
      <c r="E361" s="381"/>
      <c r="F361" s="381"/>
      <c r="G361" s="396"/>
      <c r="H361" s="28"/>
    </row>
    <row r="362" spans="1:8">
      <c r="A362" s="390"/>
      <c r="B362" s="395"/>
      <c r="C362" s="381"/>
      <c r="D362" s="381"/>
      <c r="E362" s="381"/>
      <c r="F362" s="381"/>
      <c r="G362" s="396"/>
      <c r="H362" s="28"/>
    </row>
    <row r="363" spans="1:8">
      <c r="A363" s="390"/>
      <c r="B363" s="395"/>
      <c r="C363" s="381"/>
      <c r="D363" s="381"/>
      <c r="E363" s="381"/>
      <c r="F363" s="381"/>
      <c r="G363" s="396"/>
      <c r="H363" s="28"/>
    </row>
    <row r="364" spans="1:8">
      <c r="A364" s="390"/>
      <c r="B364" s="395"/>
      <c r="C364" s="381"/>
      <c r="D364" s="381"/>
      <c r="E364" s="381"/>
      <c r="F364" s="381"/>
      <c r="G364" s="396"/>
      <c r="H364" s="28"/>
    </row>
    <row r="365" spans="1:8">
      <c r="A365" s="390"/>
      <c r="B365" s="395"/>
      <c r="C365" s="381"/>
      <c r="D365" s="381"/>
      <c r="E365" s="381"/>
      <c r="F365" s="381"/>
      <c r="G365" s="396"/>
      <c r="H365" s="28"/>
    </row>
    <row r="366" spans="1:8">
      <c r="A366" s="390"/>
      <c r="B366" s="395"/>
      <c r="C366" s="381"/>
      <c r="D366" s="381"/>
      <c r="E366" s="381"/>
      <c r="F366" s="381"/>
      <c r="G366" s="396"/>
      <c r="H366" s="28"/>
    </row>
    <row r="367" spans="1:8">
      <c r="A367" s="390"/>
      <c r="B367" s="395"/>
      <c r="C367" s="381"/>
      <c r="D367" s="381"/>
      <c r="E367" s="381"/>
      <c r="F367" s="381"/>
      <c r="G367" s="396"/>
      <c r="H367" s="28"/>
    </row>
    <row r="368" spans="1:8">
      <c r="A368" s="390"/>
      <c r="B368" s="395"/>
      <c r="C368" s="381"/>
      <c r="D368" s="381"/>
      <c r="E368" s="381"/>
      <c r="F368" s="381"/>
      <c r="G368" s="396"/>
      <c r="H368" s="28"/>
    </row>
    <row r="369" spans="1:18" ht="121.15" customHeight="1" thickBot="1">
      <c r="A369" s="391"/>
      <c r="B369" s="397"/>
      <c r="C369" s="398"/>
      <c r="D369" s="398"/>
      <c r="E369" s="398"/>
      <c r="F369" s="398"/>
      <c r="G369" s="399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400" t="s">
        <v>247</v>
      </c>
      <c r="P373" s="401"/>
      <c r="Q373" s="401"/>
      <c r="R373" s="402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400" t="str">
        <f>"DIAGRAMA PEDESTAL "&amp;C38</f>
        <v>DIAGRAMA PEDESTAL 0.3</v>
      </c>
      <c r="K375" s="402"/>
      <c r="L375" s="309" t="s">
        <v>251</v>
      </c>
      <c r="M375" s="310"/>
      <c r="N375" s="111"/>
      <c r="O375" s="400" t="str">
        <f>"DIAGRAMA PEDESTAL " &amp;D38</f>
        <v>DIAGRAMA PEDESTAL 0.5</v>
      </c>
      <c r="P375" s="402"/>
      <c r="Q375" s="400" t="s">
        <v>251</v>
      </c>
      <c r="R375" s="402"/>
    </row>
    <row r="376" spans="1:18">
      <c r="B376" s="118" t="s">
        <v>252</v>
      </c>
      <c r="C376" s="117">
        <f>+(C263*100)^2/C375</f>
        <v>62.5</v>
      </c>
      <c r="D376" s="117">
        <f>+(D263*100)^2/D375</f>
        <v>62.5</v>
      </c>
      <c r="E376" s="117">
        <f>+(E263*100)^2/E375</f>
        <v>62.5</v>
      </c>
      <c r="F376" s="117">
        <f>+(F263*100)^2/F375</f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400" t="str">
        <f xml:space="preserve"> "DIAGRAMA PEDESTAL " &amp;E38</f>
        <v>DIAGRAMA PEDESTAL 0.75</v>
      </c>
      <c r="K382" s="402"/>
      <c r="L382" s="309" t="s">
        <v>251</v>
      </c>
      <c r="M382" s="310"/>
      <c r="N382" s="111"/>
      <c r="O382" s="400" t="str">
        <f>"DIAGRAMA PEDESTAL " &amp;F38</f>
        <v>DIAGRAMA PEDESTAL 1.3</v>
      </c>
      <c r="P382" s="402"/>
      <c r="Q382" s="400" t="s">
        <v>251</v>
      </c>
      <c r="R382" s="402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81"/>
      <c r="Y388" s="381"/>
      <c r="Z388" s="381"/>
      <c r="AA388" s="381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167" priority="273">
      <formula>AF8&gt;AF7</formula>
    </cfRule>
  </conditionalFormatting>
  <conditionalFormatting sqref="AI12:AI13">
    <cfRule type="expression" dxfId="166" priority="272">
      <formula>AI12&lt;AI1048558</formula>
    </cfRule>
  </conditionalFormatting>
  <conditionalFormatting sqref="AI6 AF6">
    <cfRule type="expression" dxfId="165" priority="271">
      <formula>AF6&gt;AF5</formula>
    </cfRule>
  </conditionalFormatting>
  <conditionalFormatting sqref="AH8:AH9 AH11">
    <cfRule type="expression" dxfId="164" priority="270">
      <formula>AH8&gt;AH7</formula>
    </cfRule>
  </conditionalFormatting>
  <conditionalFormatting sqref="AH12:AH13">
    <cfRule type="expression" dxfId="163" priority="269">
      <formula>AH12&lt;AH1048558</formula>
    </cfRule>
  </conditionalFormatting>
  <conditionalFormatting sqref="AH6">
    <cfRule type="expression" dxfId="162" priority="268">
      <formula>AH6&gt;AH5</formula>
    </cfRule>
  </conditionalFormatting>
  <conditionalFormatting sqref="AF11:AF12">
    <cfRule type="expression" dxfId="161" priority="274">
      <formula>AF11&lt;AG1048547</formula>
    </cfRule>
  </conditionalFormatting>
  <conditionalFormatting sqref="C62:F62">
    <cfRule type="cellIs" dxfId="160" priority="104" operator="notEqual">
      <formula>"OK"</formula>
    </cfRule>
    <cfRule type="cellIs" dxfId="159" priority="105" operator="equal">
      <formula>"OK"</formula>
    </cfRule>
  </conditionalFormatting>
  <conditionalFormatting sqref="C73:F73">
    <cfRule type="cellIs" dxfId="158" priority="102" operator="notEqual">
      <formula>"OK"</formula>
    </cfRule>
    <cfRule type="cellIs" dxfId="157" priority="103" operator="equal">
      <formula>"OK"</formula>
    </cfRule>
  </conditionalFormatting>
  <conditionalFormatting sqref="C84:F84">
    <cfRule type="cellIs" dxfId="156" priority="100" operator="notEqual">
      <formula>"OK"</formula>
    </cfRule>
    <cfRule type="cellIs" dxfId="155" priority="101" operator="equal">
      <formula>"OK"</formula>
    </cfRule>
  </conditionalFormatting>
  <conditionalFormatting sqref="C108:F108">
    <cfRule type="cellIs" dxfId="154" priority="98" operator="notEqual">
      <formula>"OK"</formula>
    </cfRule>
    <cfRule type="cellIs" dxfId="153" priority="99" operator="equal">
      <formula>"OK"</formula>
    </cfRule>
  </conditionalFormatting>
  <conditionalFormatting sqref="C211">
    <cfRule type="cellIs" dxfId="152" priority="96" operator="notEqual">
      <formula>"OK"</formula>
    </cfRule>
    <cfRule type="cellIs" dxfId="151" priority="97" operator="equal">
      <formula>"OK"</formula>
    </cfRule>
  </conditionalFormatting>
  <conditionalFormatting sqref="D211">
    <cfRule type="cellIs" dxfId="150" priority="94" operator="notEqual">
      <formula>"OK"</formula>
    </cfRule>
    <cfRule type="cellIs" dxfId="149" priority="95" operator="equal">
      <formula>"OK"</formula>
    </cfRule>
  </conditionalFormatting>
  <conditionalFormatting sqref="E211">
    <cfRule type="cellIs" dxfId="148" priority="92" operator="notEqual">
      <formula>"OK"</formula>
    </cfRule>
    <cfRule type="cellIs" dxfId="147" priority="93" operator="equal">
      <formula>"OK"</formula>
    </cfRule>
  </conditionalFormatting>
  <conditionalFormatting sqref="F211">
    <cfRule type="cellIs" dxfId="146" priority="90" operator="notEqual">
      <formula>"OK"</formula>
    </cfRule>
    <cfRule type="cellIs" dxfId="145" priority="91" operator="equal">
      <formula>"OK"</formula>
    </cfRule>
  </conditionalFormatting>
  <conditionalFormatting sqref="C216">
    <cfRule type="cellIs" dxfId="144" priority="88" operator="notEqual">
      <formula>"OK"</formula>
    </cfRule>
    <cfRule type="cellIs" dxfId="143" priority="89" operator="equal">
      <formula>"OK"</formula>
    </cfRule>
  </conditionalFormatting>
  <conditionalFormatting sqref="D216">
    <cfRule type="cellIs" dxfId="142" priority="86" operator="notEqual">
      <formula>"OK"</formula>
    </cfRule>
    <cfRule type="cellIs" dxfId="141" priority="87" operator="equal">
      <formula>"OK"</formula>
    </cfRule>
  </conditionalFormatting>
  <conditionalFormatting sqref="E216">
    <cfRule type="cellIs" dxfId="140" priority="84" operator="notEqual">
      <formula>"OK"</formula>
    </cfRule>
    <cfRule type="cellIs" dxfId="139" priority="85" operator="equal">
      <formula>"OK"</formula>
    </cfRule>
  </conditionalFormatting>
  <conditionalFormatting sqref="F216">
    <cfRule type="cellIs" dxfId="138" priority="82" operator="notEqual">
      <formula>"OK"</formula>
    </cfRule>
    <cfRule type="cellIs" dxfId="137" priority="83" operator="equal">
      <formula>"OK"</formula>
    </cfRule>
  </conditionalFormatting>
  <conditionalFormatting sqref="C348">
    <cfRule type="cellIs" dxfId="136" priority="80" operator="notEqual">
      <formula>"OK"</formula>
    </cfRule>
    <cfRule type="cellIs" dxfId="135" priority="81" operator="equal">
      <formula>"OK"</formula>
    </cfRule>
  </conditionalFormatting>
  <conditionalFormatting sqref="D348">
    <cfRule type="cellIs" dxfId="134" priority="78" operator="notEqual">
      <formula>"OK"</formula>
    </cfRule>
    <cfRule type="cellIs" dxfId="133" priority="79" operator="equal">
      <formula>"OK"</formula>
    </cfRule>
  </conditionalFormatting>
  <conditionalFormatting sqref="E348">
    <cfRule type="cellIs" dxfId="132" priority="76" operator="notEqual">
      <formula>"OK"</formula>
    </cfRule>
    <cfRule type="cellIs" dxfId="131" priority="77" operator="equal">
      <formula>"OK"</formula>
    </cfRule>
  </conditionalFormatting>
  <conditionalFormatting sqref="F348">
    <cfRule type="cellIs" dxfId="130" priority="74" operator="notEqual">
      <formula>"OK"</formula>
    </cfRule>
    <cfRule type="cellIs" dxfId="129" priority="75" operator="equal">
      <formula>"OK"</formula>
    </cfRule>
  </conditionalFormatting>
  <conditionalFormatting sqref="D30:G33">
    <cfRule type="cellIs" dxfId="128" priority="73" operator="lessThan">
      <formula>0</formula>
    </cfRule>
  </conditionalFormatting>
  <conditionalFormatting sqref="H30">
    <cfRule type="cellIs" dxfId="127" priority="72" operator="greaterThan">
      <formula>0</formula>
    </cfRule>
  </conditionalFormatting>
  <conditionalFormatting sqref="H31">
    <cfRule type="cellIs" dxfId="126" priority="71" operator="lessThan">
      <formula>0</formula>
    </cfRule>
  </conditionalFormatting>
  <conditionalFormatting sqref="C30">
    <cfRule type="cellIs" dxfId="125" priority="70" operator="greaterThan">
      <formula>0</formula>
    </cfRule>
  </conditionalFormatting>
  <conditionalFormatting sqref="C31">
    <cfRule type="cellIs" dxfId="124" priority="69" operator="lessThan">
      <formula>0</formula>
    </cfRule>
  </conditionalFormatting>
  <conditionalFormatting sqref="C130:F130">
    <cfRule type="cellIs" dxfId="123" priority="67" operator="notEqual">
      <formula>"OK"</formula>
    </cfRule>
    <cfRule type="cellIs" dxfId="122" priority="68" operator="equal">
      <formula>"OK"</formula>
    </cfRule>
  </conditionalFormatting>
  <conditionalFormatting sqref="C152:F152">
    <cfRule type="cellIs" dxfId="121" priority="65" operator="notEqual">
      <formula>"OK"</formula>
    </cfRule>
    <cfRule type="cellIs" dxfId="120" priority="66" operator="equal">
      <formula>"OK"</formula>
    </cfRule>
  </conditionalFormatting>
  <conditionalFormatting sqref="C174:F174">
    <cfRule type="cellIs" dxfId="119" priority="63" operator="notEqual">
      <formula>"OK"</formula>
    </cfRule>
    <cfRule type="cellIs" dxfId="118" priority="64" operator="equal">
      <formula>"OK"</formula>
    </cfRule>
  </conditionalFormatting>
  <conditionalFormatting sqref="C99:F100">
    <cfRule type="cellIs" dxfId="117" priority="62" operator="greaterThan">
      <formula>$C$42/6</formula>
    </cfRule>
  </conditionalFormatting>
  <conditionalFormatting sqref="C121:F122">
    <cfRule type="cellIs" dxfId="116" priority="61" operator="greaterThan">
      <formula>$C$42/6</formula>
    </cfRule>
  </conditionalFormatting>
  <conditionalFormatting sqref="C143:F144">
    <cfRule type="cellIs" dxfId="115" priority="60" operator="greaterThan">
      <formula>$C$42/6</formula>
    </cfRule>
  </conditionalFormatting>
  <conditionalFormatting sqref="C166:F166 D165:F165">
    <cfRule type="cellIs" dxfId="114" priority="59" operator="greaterThan">
      <formula>$C$42/6</formula>
    </cfRule>
  </conditionalFormatting>
  <conditionalFormatting sqref="C189:F190">
    <cfRule type="cellIs" dxfId="113" priority="58" operator="greaterThan">
      <formula>$C$42/6</formula>
    </cfRule>
  </conditionalFormatting>
  <conditionalFormatting sqref="C225:F225">
    <cfRule type="cellIs" dxfId="112" priority="57" operator="greaterThan">
      <formula>0.25</formula>
    </cfRule>
  </conditionalFormatting>
  <conditionalFormatting sqref="C234:F234">
    <cfRule type="cellIs" dxfId="111" priority="56" operator="greaterThan">
      <formula>0.25</formula>
    </cfRule>
  </conditionalFormatting>
  <conditionalFormatting sqref="C340">
    <cfRule type="cellIs" dxfId="110" priority="53" operator="greaterThan">
      <formula>0.3</formula>
    </cfRule>
  </conditionalFormatting>
  <conditionalFormatting sqref="D23:G25 F22:G22">
    <cfRule type="cellIs" dxfId="109" priority="52" operator="lessThan">
      <formula>0</formula>
    </cfRule>
  </conditionalFormatting>
  <conditionalFormatting sqref="H22">
    <cfRule type="cellIs" dxfId="108" priority="51" operator="greaterThan">
      <formula>0</formula>
    </cfRule>
  </conditionalFormatting>
  <conditionalFormatting sqref="H23">
    <cfRule type="cellIs" dxfId="107" priority="50" operator="lessThan">
      <formula>0</formula>
    </cfRule>
  </conditionalFormatting>
  <conditionalFormatting sqref="C22">
    <cfRule type="cellIs" dxfId="106" priority="49" operator="greaterThan">
      <formula>0</formula>
    </cfRule>
  </conditionalFormatting>
  <conditionalFormatting sqref="C23:E23">
    <cfRule type="cellIs" dxfId="105" priority="48" operator="lessThan">
      <formula>0</formula>
    </cfRule>
  </conditionalFormatting>
  <conditionalFormatting sqref="C165">
    <cfRule type="cellIs" dxfId="104" priority="45" operator="greaterThan">
      <formula>$C$42/6</formula>
    </cfRule>
  </conditionalFormatting>
  <conditionalFormatting sqref="C274:F274">
    <cfRule type="cellIs" dxfId="103" priority="44" operator="equal">
      <formula>"Revisar"</formula>
    </cfRule>
  </conditionalFormatting>
  <conditionalFormatting sqref="I46:I52">
    <cfRule type="cellIs" dxfId="102" priority="41" operator="lessThan">
      <formula>1</formula>
    </cfRule>
    <cfRule type="cellIs" dxfId="101" priority="42" operator="greaterThan">
      <formula>1</formula>
    </cfRule>
  </conditionalFormatting>
  <conditionalFormatting sqref="G337">
    <cfRule type="cellIs" dxfId="100" priority="40" operator="lessThan">
      <formula>10</formula>
    </cfRule>
  </conditionalFormatting>
  <conditionalFormatting sqref="G336">
    <cfRule type="cellIs" dxfId="99" priority="35" operator="lessThan">
      <formula>MAX($C$336:$F$336)</formula>
    </cfRule>
    <cfRule type="cellIs" dxfId="98" priority="38" operator="greaterThan">
      <formula>20</formula>
    </cfRule>
  </conditionalFormatting>
  <conditionalFormatting sqref="G233">
    <cfRule type="cellIs" dxfId="97" priority="37" operator="lessThan">
      <formula>MAX($C$233:$F$233)</formula>
    </cfRule>
  </conditionalFormatting>
  <conditionalFormatting sqref="G224">
    <cfRule type="cellIs" dxfId="96" priority="36" operator="lessThan">
      <formula>MAX($C$224:$F$224)</formula>
    </cfRule>
  </conditionalFormatting>
  <conditionalFormatting sqref="C39">
    <cfRule type="cellIs" dxfId="95" priority="282" operator="lessThan">
      <formula>$L$34</formula>
    </cfRule>
  </conditionalFormatting>
  <conditionalFormatting sqref="C42">
    <cfRule type="cellIs" dxfId="94" priority="283" operator="greaterThan">
      <formula>$J$36/2</formula>
    </cfRule>
  </conditionalFormatting>
  <conditionalFormatting sqref="L40:L43">
    <cfRule type="cellIs" dxfId="93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2" priority="10" stopIfTrue="1">
      <formula>$J$2=1</formula>
    </cfRule>
  </conditionalFormatting>
  <conditionalFormatting sqref="C326:F329">
    <cfRule type="cellIs" dxfId="91" priority="12" operator="equal">
      <formula>"Aumentar D"</formula>
    </cfRule>
  </conditionalFormatting>
  <conditionalFormatting sqref="D22:E22">
    <cfRule type="cellIs" dxfId="90" priority="11" operator="lessThan">
      <formula>0</formula>
    </cfRule>
  </conditionalFormatting>
  <conditionalFormatting sqref="C40">
    <cfRule type="expression" dxfId="89" priority="5">
      <formula>AND($C$40&lt;&gt;0.4, $J$5=1)</formula>
    </cfRule>
  </conditionalFormatting>
  <conditionalFormatting sqref="I326">
    <cfRule type="cellIs" dxfId="88" priority="4" operator="equal">
      <formula>"Aumentar D"</formula>
    </cfRule>
  </conditionalFormatting>
  <conditionalFormatting sqref="M45:M46">
    <cfRule type="cellIs" dxfId="87" priority="3" operator="equal">
      <formula>"Aumentar D"</formula>
    </cfRule>
  </conditionalFormatting>
  <conditionalFormatting sqref="C43">
    <cfRule type="expression" dxfId="86" priority="287">
      <formula>AND($C$43&lt;&gt;1, $J$5=1)</formula>
    </cfRule>
    <cfRule type="expression" dxfId="85" priority="288">
      <formula>AND($C$43&lt;$L$35, $J$5&lt;&gt;1)</formula>
    </cfRule>
  </conditionalFormatting>
  <conditionalFormatting sqref="J339">
    <cfRule type="cellIs" dxfId="84" priority="1" operator="notEqual">
      <formula>"OK"</formula>
    </cfRule>
    <cfRule type="cellIs" dxfId="83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J25" sqref="J25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03" t="s">
        <v>271</v>
      </c>
      <c r="C2" s="404"/>
      <c r="D2" s="404"/>
      <c r="E2" s="404"/>
      <c r="F2" s="404"/>
      <c r="G2" s="404"/>
      <c r="H2" s="404"/>
      <c r="I2" s="405"/>
      <c r="M2" s="83"/>
    </row>
    <row r="3" spans="2:23" ht="12" customHeight="1" thickBot="1">
      <c r="B3" s="406"/>
      <c r="C3" s="407"/>
      <c r="D3" s="407"/>
      <c r="E3" s="407"/>
      <c r="F3" s="407"/>
      <c r="G3" s="407"/>
      <c r="H3" s="407"/>
      <c r="I3" s="408"/>
      <c r="M3" s="82"/>
    </row>
    <row r="4" spans="2:23" ht="12" customHeight="1" thickBot="1">
      <c r="B4" s="409" t="s">
        <v>353</v>
      </c>
      <c r="C4" s="410"/>
      <c r="D4" s="410"/>
      <c r="E4" s="411"/>
      <c r="F4" s="421" t="str">
        <f>+Dis_Cuadrado!A2</f>
        <v>TXS2</v>
      </c>
      <c r="G4" s="422"/>
      <c r="H4" s="422"/>
      <c r="I4" s="423"/>
      <c r="K4" s="80"/>
      <c r="M4" s="83"/>
    </row>
    <row r="5" spans="2:23" ht="12" customHeight="1">
      <c r="B5" s="285" t="s">
        <v>354</v>
      </c>
      <c r="C5" s="427" t="s">
        <v>355</v>
      </c>
      <c r="D5" s="427"/>
      <c r="E5" s="428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24" t="s">
        <v>150</v>
      </c>
      <c r="O5" s="425"/>
      <c r="P5" s="425"/>
      <c r="Q5" s="426"/>
    </row>
    <row r="6" spans="2:23" ht="12" customHeight="1">
      <c r="B6" s="286"/>
      <c r="C6" s="429" t="s">
        <v>272</v>
      </c>
      <c r="D6" s="429"/>
      <c r="E6" s="430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29" t="s">
        <v>4</v>
      </c>
      <c r="D7" s="429"/>
      <c r="E7" s="430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29" t="s">
        <v>274</v>
      </c>
      <c r="D8" s="429"/>
      <c r="E8" s="430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29" t="s">
        <v>275</v>
      </c>
      <c r="D9" s="429"/>
      <c r="E9" s="430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29" t="s">
        <v>357</v>
      </c>
      <c r="D10" s="429"/>
      <c r="E10" s="430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29" t="s">
        <v>359</v>
      </c>
      <c r="D11" s="429"/>
      <c r="E11" s="430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29" t="s">
        <v>361</v>
      </c>
      <c r="D12" s="429"/>
      <c r="E12" s="430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29" t="s">
        <v>363</v>
      </c>
      <c r="D13" s="429"/>
      <c r="E13" s="430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29" t="s">
        <v>365</v>
      </c>
      <c r="D14" s="429"/>
      <c r="E14" s="430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29" t="s">
        <v>276</v>
      </c>
      <c r="D15" s="429"/>
      <c r="E15" s="430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34" t="s">
        <v>277</v>
      </c>
      <c r="D16" s="434"/>
      <c r="E16" s="435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12" t="s">
        <v>278</v>
      </c>
      <c r="C17" s="413"/>
      <c r="D17" s="418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14"/>
      <c r="C18" s="415"/>
      <c r="D18" s="419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14"/>
      <c r="C19" s="415"/>
      <c r="D19" s="419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14"/>
      <c r="C20" s="415"/>
      <c r="D20" s="419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14"/>
      <c r="C21" s="415"/>
      <c r="D21" s="419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14"/>
      <c r="C22" s="415"/>
      <c r="D22" s="419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16"/>
      <c r="C23" s="417"/>
      <c r="D23" s="420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12" t="s">
        <v>286</v>
      </c>
      <c r="C24" s="413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14"/>
      <c r="C25" s="415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>$F$25/(N25/4)</f>
        <v>8.7499999999999994E-2</v>
      </c>
      <c r="P25" s="298">
        <f>O25*SQRT(2)*(2)</f>
        <v>0.24748737341529164</v>
      </c>
    </row>
    <row r="26" spans="2:23" ht="12" customHeight="1">
      <c r="B26" s="414"/>
      <c r="C26" s="415"/>
      <c r="D26" s="283"/>
      <c r="E26" s="290" t="s">
        <v>372</v>
      </c>
      <c r="F26" s="95">
        <f>VLOOKUP(F24,$N$7:$P$12,3,FALSE)</f>
        <v>0.2</v>
      </c>
      <c r="G26" s="95">
        <f>VLOOKUP(G24,$N$7:$P$12,3,FALSE)</f>
        <v>0.2</v>
      </c>
      <c r="H26" s="95">
        <f>VLOOKUP(H24,$N$7:$P$12,3,FALSE)</f>
        <v>0.2</v>
      </c>
      <c r="I26" s="95">
        <f>VLOOKUP(I24,$N$7:$P$12,3,FALSE)</f>
        <v>0.2</v>
      </c>
      <c r="J26" s="86"/>
      <c r="M26" s="300" t="s">
        <v>377</v>
      </c>
      <c r="N26" s="105">
        <v>12</v>
      </c>
      <c r="O26" s="298">
        <f>$F$25/(N26/4)</f>
        <v>0.11666666666666665</v>
      </c>
      <c r="P26" s="298">
        <f>O26*SQRT(2)*(1)</f>
        <v>0.16499158227686109</v>
      </c>
    </row>
    <row r="27" spans="2:23" ht="12" customHeight="1">
      <c r="B27" s="414"/>
      <c r="C27" s="415"/>
      <c r="D27" s="283"/>
      <c r="E27" s="290" t="s">
        <v>282</v>
      </c>
      <c r="F27" s="95">
        <f>F25*4+F26*2</f>
        <v>1.7999999999999998</v>
      </c>
      <c r="G27" s="95">
        <f>G25*4+G26*2</f>
        <v>1.7999999999999998</v>
      </c>
      <c r="H27" s="95">
        <f>H25*4+H26*2</f>
        <v>1.7999999999999998</v>
      </c>
      <c r="I27" s="95">
        <f>I25*4+I26*2</f>
        <v>1.7999999999999998</v>
      </c>
      <c r="J27" s="86"/>
    </row>
    <row r="28" spans="2:23" ht="12" customHeight="1">
      <c r="B28" s="414"/>
      <c r="C28" s="415"/>
      <c r="D28" s="283"/>
      <c r="E28" s="290" t="s">
        <v>283</v>
      </c>
      <c r="F28" s="85">
        <f>VLOOKUP(F24,$N$7:$O$12,2,FALSE)</f>
        <v>0.99399999999999999</v>
      </c>
      <c r="G28" s="85">
        <f>VLOOKUP(G24,$N$7:$O$12,2,FALSE)</f>
        <v>0.99399999999999999</v>
      </c>
      <c r="H28" s="85">
        <f>VLOOKUP(H24,$N$7:$O$12,2,FALSE)</f>
        <v>0.99399999999999999</v>
      </c>
      <c r="I28" s="85">
        <f>VLOOKUP(I24,$N$7:$O$12,2,FALSE)</f>
        <v>0.99399999999999999</v>
      </c>
      <c r="J28" s="86"/>
    </row>
    <row r="29" spans="2:23" ht="12" customHeight="1">
      <c r="B29" s="414"/>
      <c r="C29" s="415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14"/>
      <c r="C30" s="415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16"/>
      <c r="C31" s="417"/>
      <c r="D31" s="284"/>
      <c r="E31" s="292" t="s">
        <v>285</v>
      </c>
      <c r="F31" s="88">
        <f>F29*F28*F27</f>
        <v>19.681199999999997</v>
      </c>
      <c r="G31" s="88">
        <f>G29*G28*G27</f>
        <v>21.470399999999998</v>
      </c>
      <c r="H31" s="88">
        <f>H29*H28*H27</f>
        <v>21.470399999999998</v>
      </c>
      <c r="I31" s="88">
        <f>I29*I28*I27</f>
        <v>25.0488</v>
      </c>
      <c r="J31" s="86"/>
    </row>
    <row r="32" spans="2:23" ht="12" customHeight="1">
      <c r="B32" s="412" t="s">
        <v>288</v>
      </c>
      <c r="C32" s="413"/>
      <c r="D32" s="418"/>
      <c r="E32" s="291" t="s">
        <v>279</v>
      </c>
      <c r="F32" s="297" t="str">
        <f>+F24</f>
        <v>No. 4</v>
      </c>
      <c r="G32" s="297" t="str">
        <f>+G24</f>
        <v>No. 4</v>
      </c>
      <c r="H32" s="297" t="str">
        <f>+H24</f>
        <v>No. 4</v>
      </c>
      <c r="I32" s="297" t="str">
        <f>+I24</f>
        <v>No. 4</v>
      </c>
      <c r="J32" s="86"/>
    </row>
    <row r="33" spans="2:16" ht="12" customHeight="1">
      <c r="B33" s="414"/>
      <c r="C33" s="415"/>
      <c r="D33" s="419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14"/>
      <c r="C34" s="415"/>
      <c r="D34" s="419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14"/>
      <c r="C35" s="415"/>
      <c r="D35" s="419"/>
      <c r="E35" s="290" t="s">
        <v>372</v>
      </c>
      <c r="F35" s="95">
        <f>+F26</f>
        <v>0.2</v>
      </c>
      <c r="G35" s="95">
        <f>+G26</f>
        <v>0.2</v>
      </c>
      <c r="H35" s="95">
        <f>+H26</f>
        <v>0.2</v>
      </c>
      <c r="I35" s="95">
        <f>+I26</f>
        <v>0.2</v>
      </c>
      <c r="J35" s="86"/>
    </row>
    <row r="36" spans="2:16" ht="12" customHeight="1">
      <c r="B36" s="414"/>
      <c r="C36" s="415"/>
      <c r="D36" s="419"/>
      <c r="E36" s="290" t="s">
        <v>282</v>
      </c>
      <c r="F36" s="95">
        <f>+F35*2    +F34*4+     F33*4</f>
        <v>1.4719595949289332</v>
      </c>
      <c r="G36" s="95">
        <f>+G35*2    +G34*4+     G33*4</f>
        <v>1.4719595949289332</v>
      </c>
      <c r="H36" s="95">
        <f>+H35*2    +H34*4+     H33*4</f>
        <v>1.4719595949289332</v>
      </c>
      <c r="I36" s="95">
        <f>+I35*2    +I34*4+     I33*4</f>
        <v>1.4719595949289332</v>
      </c>
      <c r="J36" s="86"/>
    </row>
    <row r="37" spans="2:16" ht="12" customHeight="1">
      <c r="B37" s="414"/>
      <c r="C37" s="415"/>
      <c r="D37" s="419"/>
      <c r="E37" s="290" t="s">
        <v>283</v>
      </c>
      <c r="F37" s="85">
        <f t="shared" ref="F37:I39" si="0">+F28</f>
        <v>0.99399999999999999</v>
      </c>
      <c r="G37" s="85">
        <f t="shared" si="0"/>
        <v>0.99399999999999999</v>
      </c>
      <c r="H37" s="85">
        <f t="shared" si="0"/>
        <v>0.99399999999999999</v>
      </c>
      <c r="I37" s="85">
        <f t="shared" si="0"/>
        <v>0.99399999999999999</v>
      </c>
      <c r="J37" s="86"/>
    </row>
    <row r="38" spans="2:16" ht="12" customHeight="1">
      <c r="B38" s="414"/>
      <c r="C38" s="415"/>
      <c r="D38" s="419"/>
      <c r="E38" s="290" t="s">
        <v>284</v>
      </c>
      <c r="F38" s="97">
        <f t="shared" si="0"/>
        <v>11</v>
      </c>
      <c r="G38" s="97">
        <f t="shared" si="0"/>
        <v>12</v>
      </c>
      <c r="H38" s="97">
        <f t="shared" si="0"/>
        <v>12</v>
      </c>
      <c r="I38" s="97">
        <f t="shared" si="0"/>
        <v>14</v>
      </c>
      <c r="J38" s="86"/>
      <c r="O38" s="89"/>
    </row>
    <row r="39" spans="2:16" ht="12" customHeight="1">
      <c r="B39" s="414"/>
      <c r="C39" s="415"/>
      <c r="D39" s="419"/>
      <c r="E39" s="293" t="s">
        <v>287</v>
      </c>
      <c r="F39" s="85">
        <f t="shared" si="0"/>
        <v>0.3</v>
      </c>
      <c r="G39" s="85">
        <f t="shared" si="0"/>
        <v>0.3</v>
      </c>
      <c r="H39" s="85">
        <f t="shared" si="0"/>
        <v>0.3</v>
      </c>
      <c r="I39" s="85">
        <f t="shared" si="0"/>
        <v>0.3</v>
      </c>
      <c r="J39" s="86"/>
      <c r="O39" s="89"/>
    </row>
    <row r="40" spans="2:16" ht="12" customHeight="1" thickBot="1">
      <c r="B40" s="416"/>
      <c r="C40" s="417"/>
      <c r="D40" s="420"/>
      <c r="E40" s="292" t="s">
        <v>285</v>
      </c>
      <c r="F40" s="88">
        <f>F38*F37*F36</f>
        <v>16.094406210952954</v>
      </c>
      <c r="G40" s="88">
        <f>G38*G37*G36</f>
        <v>17.557534048312316</v>
      </c>
      <c r="H40" s="88">
        <f>H38*H37*H36</f>
        <v>17.557534048312316</v>
      </c>
      <c r="I40" s="88">
        <f>I38*I37*I36</f>
        <v>20.483789723031034</v>
      </c>
      <c r="J40" s="86"/>
      <c r="N40" s="81"/>
    </row>
    <row r="41" spans="2:16" ht="12" customHeight="1">
      <c r="B41" s="412" t="s">
        <v>288</v>
      </c>
      <c r="C41" s="413"/>
      <c r="D41" s="418"/>
      <c r="E41" s="299" t="s">
        <v>279</v>
      </c>
      <c r="F41" s="297" t="str">
        <f>+F32</f>
        <v>No. 4</v>
      </c>
      <c r="G41" s="297" t="str">
        <f>+G32</f>
        <v>No. 4</v>
      </c>
      <c r="H41" s="297" t="str">
        <f>+H32</f>
        <v>No. 4</v>
      </c>
      <c r="I41" s="297" t="str">
        <f>+I32</f>
        <v>No. 4</v>
      </c>
      <c r="J41" s="86"/>
    </row>
    <row r="42" spans="2:16" ht="12" customHeight="1">
      <c r="B42" s="414"/>
      <c r="C42" s="415"/>
      <c r="D42" s="419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14"/>
      <c r="C43" s="415"/>
      <c r="D43" s="419"/>
      <c r="E43" s="290" t="s">
        <v>281</v>
      </c>
      <c r="F43" s="95">
        <f>+F35</f>
        <v>0.2</v>
      </c>
      <c r="G43" s="95">
        <f>+G35</f>
        <v>0.2</v>
      </c>
      <c r="H43" s="95">
        <f>+H35</f>
        <v>0.2</v>
      </c>
      <c r="I43" s="95">
        <f>+I35</f>
        <v>0.2</v>
      </c>
      <c r="J43" s="86"/>
      <c r="P43" s="90"/>
    </row>
    <row r="44" spans="2:16" ht="12" customHeight="1">
      <c r="B44" s="414"/>
      <c r="C44" s="415"/>
      <c r="D44" s="419"/>
      <c r="E44" s="290" t="s">
        <v>282</v>
      </c>
      <c r="F44" s="95">
        <f>+F43*2     +F42*4</f>
        <v>1.1919595949289332</v>
      </c>
      <c r="G44" s="95">
        <f>+G43*2     +G42*4</f>
        <v>1.1919595949289332</v>
      </c>
      <c r="H44" s="95">
        <f>+H43*2     +H42*4</f>
        <v>1.1919595949289332</v>
      </c>
      <c r="I44" s="95">
        <f>+I43*2     +I42*4</f>
        <v>1.1919595949289332</v>
      </c>
      <c r="J44" s="86"/>
      <c r="P44" s="90"/>
    </row>
    <row r="45" spans="2:16" ht="12" customHeight="1">
      <c r="B45" s="414"/>
      <c r="C45" s="415"/>
      <c r="D45" s="419"/>
      <c r="E45" s="290" t="s">
        <v>283</v>
      </c>
      <c r="F45" s="85">
        <f t="shared" ref="F45:I47" si="1">+F37</f>
        <v>0.99399999999999999</v>
      </c>
      <c r="G45" s="85">
        <f t="shared" si="1"/>
        <v>0.99399999999999999</v>
      </c>
      <c r="H45" s="85">
        <f t="shared" si="1"/>
        <v>0.99399999999999999</v>
      </c>
      <c r="I45" s="85">
        <f t="shared" si="1"/>
        <v>0.99399999999999999</v>
      </c>
      <c r="J45" s="86"/>
      <c r="N45" s="91"/>
      <c r="P45" s="90"/>
    </row>
    <row r="46" spans="2:16" ht="12" customHeight="1">
      <c r="B46" s="414"/>
      <c r="C46" s="415"/>
      <c r="D46" s="419"/>
      <c r="E46" s="290" t="s">
        <v>284</v>
      </c>
      <c r="F46" s="97">
        <f t="shared" si="1"/>
        <v>11</v>
      </c>
      <c r="G46" s="97">
        <f t="shared" si="1"/>
        <v>12</v>
      </c>
      <c r="H46" s="97">
        <f t="shared" si="1"/>
        <v>12</v>
      </c>
      <c r="I46" s="97">
        <f t="shared" si="1"/>
        <v>14</v>
      </c>
      <c r="J46" s="86"/>
    </row>
    <row r="47" spans="2:16" ht="12" customHeight="1">
      <c r="B47" s="414"/>
      <c r="C47" s="415"/>
      <c r="D47" s="419"/>
      <c r="E47" s="293" t="s">
        <v>287</v>
      </c>
      <c r="F47" s="297">
        <f t="shared" si="1"/>
        <v>0.3</v>
      </c>
      <c r="G47" s="297">
        <f t="shared" si="1"/>
        <v>0.3</v>
      </c>
      <c r="H47" s="297">
        <f t="shared" si="1"/>
        <v>0.3</v>
      </c>
      <c r="I47" s="297">
        <f t="shared" si="1"/>
        <v>0.3</v>
      </c>
      <c r="J47" s="86"/>
    </row>
    <row r="48" spans="2:16" ht="12" customHeight="1" thickBot="1">
      <c r="B48" s="416"/>
      <c r="C48" s="417"/>
      <c r="D48" s="420"/>
      <c r="E48" s="292" t="s">
        <v>285</v>
      </c>
      <c r="F48" s="88">
        <f>F46*F45*F44</f>
        <v>13.032886210952954</v>
      </c>
      <c r="G48" s="88">
        <f>G46*G45*G44</f>
        <v>14.217694048312316</v>
      </c>
      <c r="H48" s="88">
        <f>H46*H45*H44</f>
        <v>14.217694048312316</v>
      </c>
      <c r="I48" s="88">
        <f>I46*I45*I44</f>
        <v>16.587309723031034</v>
      </c>
      <c r="J48" s="86"/>
    </row>
    <row r="49" spans="1:11" s="80" customFormat="1" ht="12" customHeight="1">
      <c r="A49" s="79"/>
      <c r="B49" s="412" t="s">
        <v>290</v>
      </c>
      <c r="C49" s="413"/>
      <c r="D49" s="418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14"/>
      <c r="C50" s="415"/>
      <c r="D50" s="419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14"/>
      <c r="C51" s="415"/>
      <c r="D51" s="419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14"/>
      <c r="C52" s="415"/>
      <c r="D52" s="419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14"/>
      <c r="C53" s="415"/>
      <c r="D53" s="419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14"/>
      <c r="C54" s="415"/>
      <c r="D54" s="419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14"/>
      <c r="C55" s="415"/>
      <c r="D55" s="419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16"/>
      <c r="C56" s="417"/>
      <c r="D56" s="420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12" t="s">
        <v>376</v>
      </c>
      <c r="C57" s="413"/>
      <c r="D57" s="418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14"/>
      <c r="C58" s="415"/>
      <c r="D58" s="419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14"/>
      <c r="C59" s="415"/>
      <c r="D59" s="419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14"/>
      <c r="C60" s="415"/>
      <c r="D60" s="419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14"/>
      <c r="C61" s="415"/>
      <c r="D61" s="419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14"/>
      <c r="C62" s="415"/>
      <c r="D62" s="419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14"/>
      <c r="C63" s="415"/>
      <c r="D63" s="419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16"/>
      <c r="C64" s="417"/>
      <c r="D64" s="420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36" t="s">
        <v>367</v>
      </c>
      <c r="C65" s="437"/>
      <c r="D65" s="437"/>
      <c r="E65" s="438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39" t="s">
        <v>368</v>
      </c>
      <c r="C66" s="440"/>
      <c r="D66" s="440"/>
      <c r="E66" s="441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39" t="s">
        <v>369</v>
      </c>
      <c r="C67" s="440"/>
      <c r="D67" s="440"/>
      <c r="E67" s="441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42" t="s">
        <v>370</v>
      </c>
      <c r="C68" s="443"/>
      <c r="D68" s="443"/>
      <c r="E68" s="444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31" t="s">
        <v>366</v>
      </c>
      <c r="C69" s="432"/>
      <c r="D69" s="432"/>
      <c r="E69" s="433"/>
      <c r="F69" s="88">
        <f>F64+F56+F23+F31    +IF(F22=16, F48,  F40)</f>
        <v>924.59470621095272</v>
      </c>
      <c r="G69" s="88">
        <f>G64+G56+G23+G31    +IF(G22=16, G48,  G40)</f>
        <v>943.73903404831208</v>
      </c>
      <c r="H69" s="88">
        <f>H64+H56+H23+H31    +IF(H22=16, H48,  H40)</f>
        <v>963.6040340483122</v>
      </c>
      <c r="I69" s="88">
        <f>I64+I56+I23+I31    +IF(I22=16, I48,  I40)</f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82" priority="2">
      <formula>OR($F$22=16)</formula>
    </cfRule>
  </conditionalFormatting>
  <conditionalFormatting sqref="B41:I48">
    <cfRule type="expression" dxfId="81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29"/>
  <sheetViews>
    <sheetView showGridLines="0" tabSelected="1" topLeftCell="A235" zoomScale="90" zoomScaleNormal="90" zoomScaleSheetLayoutView="80" workbookViewId="0">
      <selection activeCell="B244" sqref="B244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5" width="11.140625" customWidth="1"/>
    <col min="6" max="6" width="10.28515625" customWidth="1"/>
    <col min="7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71" t="s">
        <v>390</v>
      </c>
      <c r="B2" s="372"/>
      <c r="C2" s="124"/>
      <c r="D2" s="124"/>
      <c r="E2" s="124"/>
      <c r="F2" s="124"/>
      <c r="G2" s="124"/>
      <c r="H2" s="122"/>
      <c r="I2" s="100"/>
      <c r="J2" s="306">
        <v>2</v>
      </c>
      <c r="Q2" s="375" t="s">
        <v>0</v>
      </c>
      <c r="R2" s="376"/>
      <c r="S2" s="376"/>
      <c r="T2" s="376"/>
      <c r="U2" s="376"/>
      <c r="V2" s="377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73"/>
      <c r="B3" s="374"/>
      <c r="C3" s="50"/>
      <c r="H3" s="28"/>
      <c r="I3" s="100"/>
      <c r="J3" s="203"/>
      <c r="L3" s="31"/>
      <c r="M3" s="31"/>
      <c r="N3" s="31"/>
      <c r="O3" s="31"/>
      <c r="P3" s="31"/>
      <c r="Q3" s="378" t="s">
        <v>1</v>
      </c>
      <c r="R3" s="379"/>
      <c r="S3" s="379"/>
      <c r="T3" s="379"/>
      <c r="U3" s="379"/>
      <c r="V3" s="380"/>
      <c r="W3" s="138"/>
      <c r="X3" s="138"/>
      <c r="Y3" s="138"/>
      <c r="Z3" s="138"/>
      <c r="AE3" s="141"/>
      <c r="AF3" s="142"/>
      <c r="AH3" s="142"/>
      <c r="AI3" s="142"/>
      <c r="AJ3" s="381"/>
      <c r="AK3" s="381"/>
      <c r="AL3" s="381"/>
      <c r="AM3" s="38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>+CONCATENATE("DIAGRAMA FLEXOCOMPRESIÓN PEDESTAL Hp=",D38," m")</f>
        <v>DIAGRAMA FLEXOCOMPRESIÓN PEDESTAL Hp=1 m</v>
      </c>
      <c r="AB5" t="str">
        <f>+CONCATENATE("DIAGRAMA FLEXOCOMPRESIÓN PEDESTAL Hp=",E38," m")</f>
        <v>DIAGRAMA FLEXOCOMPRESIÓN PEDESTAL Hp=1 m</v>
      </c>
      <c r="AC5" t="str">
        <f>+CONCATENATE("DIAGRAMA FLEXOCOMPRESIÓN PEDESTAL Hp=",F38," m")</f>
        <v>DIAGRAMA FLEXOCOMPRESIÓN PEDESTAL Hp=1 m</v>
      </c>
      <c r="AD5" t="str">
        <f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82" t="s">
        <v>14</v>
      </c>
      <c r="G6" s="383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8" t="s">
        <v>27</v>
      </c>
      <c r="R11" s="379"/>
      <c r="S11" s="379"/>
      <c r="T11" s="379"/>
      <c r="U11" s="379"/>
      <c r="V11" s="380"/>
      <c r="W11" s="384"/>
      <c r="X11" s="384"/>
      <c r="Y11" s="384"/>
      <c r="Z11" s="384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85" t="s">
        <v>34</v>
      </c>
      <c r="D19" s="386"/>
      <c r="E19" s="386"/>
      <c r="F19" s="386" t="s">
        <v>35</v>
      </c>
      <c r="G19" s="386"/>
      <c r="H19" s="387"/>
      <c r="I19" s="100"/>
      <c r="J19" s="386" t="s">
        <v>34</v>
      </c>
      <c r="K19" s="386"/>
      <c r="L19" s="386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85" t="s">
        <v>34</v>
      </c>
      <c r="D27" s="386"/>
      <c r="E27" s="386"/>
      <c r="F27" s="386" t="s">
        <v>35</v>
      </c>
      <c r="G27" s="386"/>
      <c r="H27" s="387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 t="shared" ref="C30:H30" si="0">C22*1.5</f>
        <v>-1200</v>
      </c>
      <c r="D30" s="318">
        <f t="shared" si="0"/>
        <v>18</v>
      </c>
      <c r="E30" s="318">
        <f t="shared" si="0"/>
        <v>34.5</v>
      </c>
      <c r="F30" s="318">
        <f t="shared" si="0"/>
        <v>37.5</v>
      </c>
      <c r="G30" s="318">
        <f t="shared" si="0"/>
        <v>75</v>
      </c>
      <c r="H30" s="319">
        <f t="shared" si="0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1">C23*1.5</f>
        <v>975</v>
      </c>
      <c r="D31" s="318">
        <f t="shared" si="1"/>
        <v>22.5</v>
      </c>
      <c r="E31" s="318">
        <f t="shared" si="1"/>
        <v>15</v>
      </c>
      <c r="F31" s="318">
        <f>F23*1.5</f>
        <v>45</v>
      </c>
      <c r="G31" s="318">
        <f t="shared" si="1"/>
        <v>30</v>
      </c>
      <c r="H31" s="319">
        <f t="shared" si="1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1"/>
        <v>0</v>
      </c>
      <c r="D32" s="317">
        <f t="shared" si="1"/>
        <v>45</v>
      </c>
      <c r="E32" s="318">
        <f t="shared" si="1"/>
        <v>30</v>
      </c>
      <c r="F32" s="317">
        <f t="shared" si="1"/>
        <v>90</v>
      </c>
      <c r="G32" s="318">
        <f t="shared" si="1"/>
        <v>60</v>
      </c>
      <c r="H32" s="320">
        <f t="shared" si="1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1"/>
        <v>300</v>
      </c>
      <c r="D33" s="318">
        <f t="shared" si="1"/>
        <v>15</v>
      </c>
      <c r="E33" s="317">
        <f t="shared" si="1"/>
        <v>52.5</v>
      </c>
      <c r="F33" s="318">
        <f t="shared" si="1"/>
        <v>30</v>
      </c>
      <c r="G33" s="317">
        <f t="shared" si="1"/>
        <v>105</v>
      </c>
      <c r="H33" s="320">
        <f t="shared" si="1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4.9819835300121245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2">+C39</f>
        <v>0.5</v>
      </c>
      <c r="E39" s="201">
        <f t="shared" si="2"/>
        <v>0.5</v>
      </c>
      <c r="F39" s="201">
        <f t="shared" si="2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2"/>
        <v>0.4</v>
      </c>
      <c r="E40" s="201">
        <f t="shared" si="2"/>
        <v>0.4</v>
      </c>
      <c r="F40" s="201">
        <f t="shared" si="2"/>
        <v>0.4</v>
      </c>
      <c r="G40" s="18" t="s">
        <v>50</v>
      </c>
      <c r="H40" s="28"/>
      <c r="I40" s="221" t="s">
        <v>154</v>
      </c>
      <c r="J40" s="130">
        <f>ROUNDUP(MAX($C$242:$F$242)/VLOOKUP(I40,$K$258:$L$263,2,FALSE),0 )</f>
        <v>37</v>
      </c>
      <c r="K40" s="74">
        <f>+($C$42-2*$C$45)/(J40-1)</f>
        <v>8.3333333333333329E-2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4.0999999999999996</v>
      </c>
      <c r="D41" s="201">
        <f>+D43-D40+D38</f>
        <v>4.0999999999999996</v>
      </c>
      <c r="E41" s="201">
        <f>+E43-E40+E38</f>
        <v>4.0999999999999996</v>
      </c>
      <c r="F41" s="201">
        <f>+F43-F40+F38</f>
        <v>4.0999999999999996</v>
      </c>
      <c r="G41" s="18" t="s">
        <v>50</v>
      </c>
      <c r="H41" s="28"/>
      <c r="I41" s="221" t="s">
        <v>145</v>
      </c>
      <c r="J41" s="130">
        <f>ROUNDUP(MAX($C$242:$F$242)/VLOOKUP(I41,$K$258:$L$263,2,FALSE),0 )</f>
        <v>24</v>
      </c>
      <c r="K41" s="74">
        <f>+($C$42-2*$C$45)/(J41-1)</f>
        <v>0.13043478260869565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3.1</v>
      </c>
      <c r="D42" s="201">
        <f t="shared" ref="D42:F45" si="3">+C42</f>
        <v>3.1</v>
      </c>
      <c r="E42" s="201">
        <f t="shared" si="3"/>
        <v>3.1</v>
      </c>
      <c r="F42" s="201">
        <f t="shared" si="3"/>
        <v>3.1</v>
      </c>
      <c r="G42" s="18" t="s">
        <v>50</v>
      </c>
      <c r="H42" s="28"/>
      <c r="I42" s="221" t="s">
        <v>157</v>
      </c>
      <c r="J42" s="130">
        <f>ROUNDUP(MAX($C$242:$F$242)/VLOOKUP(I42,$K$258:$L$263,2,FALSE),0 )</f>
        <v>17</v>
      </c>
      <c r="K42" s="74">
        <f>+($C$42-2*$C$45)/(J42-1)</f>
        <v>0.1875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3.5</v>
      </c>
      <c r="D43" s="201">
        <f t="shared" si="3"/>
        <v>3.5</v>
      </c>
      <c r="E43" s="201">
        <f t="shared" si="3"/>
        <v>3.5</v>
      </c>
      <c r="F43" s="201">
        <f t="shared" si="3"/>
        <v>3.5</v>
      </c>
      <c r="G43" s="18" t="s">
        <v>50</v>
      </c>
      <c r="H43" s="28"/>
      <c r="I43" s="221" t="s">
        <v>159</v>
      </c>
      <c r="J43" s="130">
        <f>ROUNDUP(MAX($C$242:$F$242)/VLOOKUP(I43,$K$258:$L$263,2,FALSE),0 )</f>
        <v>13</v>
      </c>
      <c r="K43" s="74">
        <f>+($C$42-2*$C$45)/(J43-1)</f>
        <v>0.25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3"/>
        <v>0.05</v>
      </c>
      <c r="E44" s="201">
        <f t="shared" si="3"/>
        <v>0.05</v>
      </c>
      <c r="F44" s="201">
        <f t="shared" si="3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3"/>
        <v>0.05</v>
      </c>
      <c r="E45" s="202">
        <f t="shared" si="3"/>
        <v>0.05</v>
      </c>
      <c r="F45" s="202">
        <f t="shared" si="3"/>
        <v>0.05</v>
      </c>
      <c r="G45" s="18" t="s">
        <v>50</v>
      </c>
      <c r="H45" s="28"/>
      <c r="I45" s="301">
        <v>0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4">+K46/L46/(1+$I$45)</f>
        <v>1.2860277943086418</v>
      </c>
      <c r="J46" s="100" t="s">
        <v>301</v>
      </c>
      <c r="K46" s="203">
        <f>+J61</f>
        <v>1.9290416914629627</v>
      </c>
      <c r="L46" s="162">
        <v>1.5</v>
      </c>
      <c r="M46" s="313">
        <f>+I346</f>
        <v>0.64008053098180173</v>
      </c>
    </row>
    <row r="47" spans="1:16" ht="15.75" thickBot="1">
      <c r="A47" s="268" t="s">
        <v>329</v>
      </c>
      <c r="C47" s="243">
        <f>+C43-C40</f>
        <v>3.1</v>
      </c>
      <c r="D47" s="244">
        <f>+D43-D40</f>
        <v>3.1</v>
      </c>
      <c r="E47" s="244">
        <f>+E43-E40</f>
        <v>3.1</v>
      </c>
      <c r="F47" s="244">
        <f>+F43-F40</f>
        <v>3.1</v>
      </c>
      <c r="G47" s="245" t="s">
        <v>50</v>
      </c>
      <c r="H47" s="28"/>
      <c r="I47" s="4">
        <f t="shared" si="4"/>
        <v>1.1806374401005042</v>
      </c>
      <c r="J47" s="100" t="s">
        <v>302</v>
      </c>
      <c r="K47" s="203">
        <f>+J84</f>
        <v>1.7709561601507562</v>
      </c>
      <c r="L47" s="162">
        <v>1.5</v>
      </c>
      <c r="M47" s="314">
        <f>+I347</f>
        <v>0.42646326973716114</v>
      </c>
    </row>
    <row r="48" spans="1:16" ht="15.75" thickBot="1">
      <c r="A48" s="252"/>
      <c r="B48" s="200" t="s">
        <v>58</v>
      </c>
      <c r="C48" s="4"/>
      <c r="H48" s="28"/>
      <c r="I48" s="4">
        <f t="shared" si="4"/>
        <v>3.3867993423072824</v>
      </c>
      <c r="J48" s="100" t="s">
        <v>303</v>
      </c>
      <c r="K48" s="203">
        <f>+J96</f>
        <v>5.0801990134609234</v>
      </c>
      <c r="L48" s="162">
        <v>1.5</v>
      </c>
    </row>
    <row r="49" spans="1:12" ht="17.25">
      <c r="A49" s="365" t="s">
        <v>450</v>
      </c>
      <c r="B49" s="1" t="s">
        <v>59</v>
      </c>
      <c r="C49" s="345">
        <f>+C40*C42^2+C41*C39^2</f>
        <v>4.8690000000000007</v>
      </c>
      <c r="D49" s="201">
        <f>+D40*D42^2+D41*D39^2</f>
        <v>4.8690000000000007</v>
      </c>
      <c r="E49" s="201">
        <f>+E40*E42^2+E41*E39^2</f>
        <v>4.8690000000000007</v>
      </c>
      <c r="F49" s="201">
        <f>+F40*F42^2+F41*F39^2</f>
        <v>4.8690000000000007</v>
      </c>
      <c r="G49" s="5" t="s">
        <v>60</v>
      </c>
      <c r="H49" s="28"/>
      <c r="I49" s="4">
        <f t="shared" si="4"/>
        <v>0.25945818861351194</v>
      </c>
      <c r="J49" s="100" t="s">
        <v>304</v>
      </c>
      <c r="K49" s="203">
        <f>+L121/MAX(J121,J165,J187,J143)</f>
        <v>0.25945818861351194</v>
      </c>
      <c r="L49" s="162">
        <v>1</v>
      </c>
    </row>
    <row r="50" spans="1:12" ht="17.25">
      <c r="A50" s="365" t="s">
        <v>452</v>
      </c>
      <c r="B50" s="1" t="s">
        <v>61</v>
      </c>
      <c r="C50" s="345">
        <f>(C43-C40)*(C42^2-C39^2)</f>
        <v>29.016000000000005</v>
      </c>
      <c r="D50" s="201">
        <f>(D43-D40)*(D42^2-D39^2)</f>
        <v>29.016000000000005</v>
      </c>
      <c r="E50" s="201">
        <f>(E43-E40)*(E42^2-E39^2)</f>
        <v>29.016000000000005</v>
      </c>
      <c r="F50" s="201">
        <f>(F43-F40)*(F42^2-F39^2)</f>
        <v>29.016000000000005</v>
      </c>
      <c r="G50" s="5" t="s">
        <v>60</v>
      </c>
      <c r="H50" s="28"/>
      <c r="I50" s="4">
        <f t="shared" si="4"/>
        <v>1.2835250528346569</v>
      </c>
      <c r="J50" s="100" t="s">
        <v>324</v>
      </c>
      <c r="K50" s="203">
        <f>+L224</f>
        <v>1.1341874845015705</v>
      </c>
      <c r="L50" s="203">
        <f>+J224</f>
        <v>0.88365044530819603</v>
      </c>
    </row>
    <row r="51" spans="1:12" ht="17.25">
      <c r="A51" s="365" t="s">
        <v>451</v>
      </c>
      <c r="B51" s="1" t="s">
        <v>62</v>
      </c>
      <c r="C51" s="345">
        <f>+C43*C42^2</f>
        <v>33.635000000000005</v>
      </c>
      <c r="D51" s="201">
        <f>+D43*D42^2</f>
        <v>33.635000000000005</v>
      </c>
      <c r="E51" s="201">
        <f>+E43*E42^2</f>
        <v>33.635000000000005</v>
      </c>
      <c r="F51" s="201">
        <f>+F43*F42^2</f>
        <v>33.635000000000005</v>
      </c>
      <c r="G51" s="5" t="s">
        <v>60</v>
      </c>
      <c r="H51" s="28"/>
      <c r="I51" s="4">
        <f t="shared" si="4"/>
        <v>1.0091667606065553</v>
      </c>
      <c r="J51" s="100" t="s">
        <v>323</v>
      </c>
      <c r="K51" s="203">
        <f>+L231</f>
        <v>633.94206520095361</v>
      </c>
      <c r="L51" s="203">
        <f>+J231</f>
        <v>628.18365600936511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4"/>
        <v>4.0129576010296617</v>
      </c>
      <c r="J52" s="100" t="s">
        <v>322</v>
      </c>
      <c r="K52" s="203">
        <f>+L368</f>
        <v>219.110792373896</v>
      </c>
      <c r="L52" s="203">
        <f>+J368</f>
        <v>54.600824169603889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365" t="s">
        <v>453</v>
      </c>
      <c r="B54" s="164" t="s">
        <v>64</v>
      </c>
      <c r="C54" s="346">
        <f>Piramide(C42^2, (   C42 + 2*(C43)*TAN(RADIANS(       IF($C$13=$C$14,$C$8,$C$8*0.5)       ))   )^2, C43)
    -(C43)*C42^2</f>
        <v>35.21665523936899</v>
      </c>
      <c r="D54" s="201">
        <f>Piramide(D42^2, (   D42 + 2*(D43)*TAN(RADIANS(       IF($C$13=$C$14,$C$8,$C$8*0.5)       ))   )^2, D43)
    -(D43)*D42^2</f>
        <v>35.21665523936899</v>
      </c>
      <c r="E54" s="201">
        <f>Piramide(E42^2, (   E42 + 2*(E43)*TAN(RADIANS(       IF($C$13=$C$14,$C$8,$C$8*0.5)       ))   )^2, E43)
    -(E43)*E42^2</f>
        <v>35.21665523936899</v>
      </c>
      <c r="F54" s="201">
        <f>Piramide(F42^2, (   F42 + 2*(F43)*TAN(RADIANS(       IF($C$13=$C$14,$C$8,$C$8*0.5)       ))   )^2, F43)
    -(F43)*F42^2</f>
        <v>35.21665523936899</v>
      </c>
      <c r="G54" s="20" t="s">
        <v>60</v>
      </c>
      <c r="H54" s="28"/>
      <c r="I54" s="100" t="s">
        <v>409</v>
      </c>
      <c r="J54" s="203">
        <f>+-C58+C60</f>
        <v>-557.42501487777758</v>
      </c>
    </row>
    <row r="55" spans="1:12" ht="15.75" thickBot="1">
      <c r="A55" s="365" t="s">
        <v>454</v>
      </c>
      <c r="B55" s="196" t="s">
        <v>65</v>
      </c>
      <c r="C55" s="346">
        <f>+C54*$C$13</f>
        <v>570.50981487777756</v>
      </c>
      <c r="D55" s="201">
        <f>+D54*$C$13</f>
        <v>570.50981487777756</v>
      </c>
      <c r="E55" s="201">
        <f>+E54*$C$13</f>
        <v>570.50981487777756</v>
      </c>
      <c r="F55" s="201">
        <f>+F54*$C$13</f>
        <v>570.50981487777756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1</v>
      </c>
    </row>
    <row r="56" spans="1:12" ht="15.75" thickBot="1">
      <c r="A56" s="365" t="s">
        <v>455</v>
      </c>
      <c r="B56" s="196" t="s">
        <v>66</v>
      </c>
      <c r="C56" s="346">
        <f>+C50*$C$14</f>
        <v>470.05920000000009</v>
      </c>
      <c r="D56" s="5">
        <f>+D50*$C$14</f>
        <v>470.05920000000009</v>
      </c>
      <c r="E56" s="5">
        <f>+E50*$C$14</f>
        <v>470.05920000000009</v>
      </c>
      <c r="F56" s="5">
        <f>+F50*$C$14</f>
        <v>470.05920000000009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365" t="s">
        <v>456</v>
      </c>
      <c r="B57" s="196" t="s">
        <v>67</v>
      </c>
      <c r="C57" s="346">
        <f>+C49*$C$12</f>
        <v>116.85600000000002</v>
      </c>
      <c r="D57" s="5">
        <f>+D49*$C$12</f>
        <v>116.85600000000002</v>
      </c>
      <c r="E57" s="5">
        <f>+E49*$C$12</f>
        <v>116.85600000000002</v>
      </c>
      <c r="F57" s="5">
        <f>+F49*$C$12</f>
        <v>116.85600000000002</v>
      </c>
      <c r="G57" s="25" t="s">
        <v>41</v>
      </c>
      <c r="H57" s="28"/>
      <c r="I57" s="100"/>
      <c r="J57" s="203"/>
    </row>
    <row r="58" spans="1:12" ht="15.75" thickBot="1">
      <c r="A58" s="365"/>
      <c r="B58" s="230" t="s">
        <v>68</v>
      </c>
      <c r="C58" s="346">
        <f>+C55+C56+C57</f>
        <v>1157.4250148777776</v>
      </c>
      <c r="D58" s="231">
        <f>+D55+D56+D57</f>
        <v>1157.4250148777776</v>
      </c>
      <c r="E58" s="231">
        <f>+E55+E56+E57</f>
        <v>1157.4250148777776</v>
      </c>
      <c r="F58" s="231">
        <f>+F55+F56+F57</f>
        <v>1157.4250148777776</v>
      </c>
      <c r="G58" s="25" t="s">
        <v>41</v>
      </c>
      <c r="H58" s="28"/>
      <c r="I58" s="100"/>
      <c r="J58" s="203"/>
    </row>
    <row r="59" spans="1:12">
      <c r="A59" s="365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365" t="s">
        <v>457</v>
      </c>
      <c r="B60" s="192" t="s">
        <v>70</v>
      </c>
      <c r="C60" s="356">
        <f>+$H$23</f>
        <v>600</v>
      </c>
      <c r="D60" s="169">
        <f>+$H$23</f>
        <v>600</v>
      </c>
      <c r="E60" s="169">
        <f>+$H$23</f>
        <v>600</v>
      </c>
      <c r="F60" s="169">
        <f>+$H$23</f>
        <v>600</v>
      </c>
      <c r="G60" s="25" t="s">
        <v>41</v>
      </c>
      <c r="H60" s="28"/>
      <c r="I60" s="100"/>
      <c r="J60" s="203"/>
    </row>
    <row r="61" spans="1:12">
      <c r="A61" s="365" t="s">
        <v>458</v>
      </c>
      <c r="B61" s="362" t="s">
        <v>299</v>
      </c>
      <c r="C61" s="362">
        <f>+C58/C60</f>
        <v>1.9290416914629627</v>
      </c>
      <c r="D61" s="17">
        <f>+D58/D60</f>
        <v>1.9290416914629627</v>
      </c>
      <c r="E61" s="17">
        <f>+E58/E60</f>
        <v>1.9290416914629627</v>
      </c>
      <c r="F61" s="17">
        <f>+F58/F60</f>
        <v>1.9290416914629627</v>
      </c>
      <c r="G61" s="191"/>
      <c r="H61" s="28"/>
      <c r="I61" s="162" t="s">
        <v>301</v>
      </c>
      <c r="J61" s="203">
        <f>+MIN(C61:F61)</f>
        <v>1.9290416914629627</v>
      </c>
      <c r="K61" t="s">
        <v>307</v>
      </c>
      <c r="L61">
        <v>1.5</v>
      </c>
    </row>
    <row r="62" spans="1:12" ht="15.75" thickBot="1">
      <c r="A62" s="365" t="s">
        <v>459</v>
      </c>
      <c r="B62" s="1" t="s">
        <v>71</v>
      </c>
      <c r="C62" s="175" t="str">
        <f>+IF(C61&gt;1.5,"OK","NO CUMPLE")</f>
        <v>OK</v>
      </c>
      <c r="D62" s="359" t="str">
        <f>+IF(D61&gt;1.5,"OK","NO CUMPLE")</f>
        <v>OK</v>
      </c>
      <c r="E62" s="175" t="str">
        <f>+IF(E61&gt;1.5,"OK","NO CUMPLE")</f>
        <v>OK</v>
      </c>
      <c r="F62" s="175" t="str">
        <f>+IF(F61&gt;1.5,"OK","NO CUMPLE")</f>
        <v>OK</v>
      </c>
      <c r="G62" s="4"/>
      <c r="H62" s="28"/>
      <c r="I62" s="100"/>
      <c r="J62" s="203"/>
    </row>
    <row r="63" spans="1:12" ht="15.75" thickBot="1">
      <c r="A63" s="365"/>
      <c r="B63" s="1" t="s">
        <v>72</v>
      </c>
      <c r="C63" s="358">
        <v>1</v>
      </c>
      <c r="D63" s="360">
        <v>1</v>
      </c>
      <c r="E63" s="18">
        <v>1</v>
      </c>
      <c r="F63" s="1">
        <v>1</v>
      </c>
      <c r="G63" s="192"/>
      <c r="H63" s="28"/>
      <c r="I63" s="247"/>
      <c r="J63" s="203"/>
    </row>
    <row r="64" spans="1:12">
      <c r="A64" s="365"/>
      <c r="B64" s="1" t="s">
        <v>327</v>
      </c>
      <c r="C64" s="356">
        <f>C43</f>
        <v>3.5</v>
      </c>
      <c r="D64" s="169">
        <f>+C64</f>
        <v>3.5</v>
      </c>
      <c r="E64" s="5">
        <f>+D64</f>
        <v>3.5</v>
      </c>
      <c r="F64" s="5">
        <f>+E64</f>
        <v>3.5</v>
      </c>
      <c r="G64" s="20" t="s">
        <v>50</v>
      </c>
      <c r="H64" s="28"/>
      <c r="I64" s="100"/>
      <c r="J64" s="203"/>
    </row>
    <row r="65" spans="1:11">
      <c r="A65" s="365"/>
      <c r="B65" s="1" t="s">
        <v>73</v>
      </c>
      <c r="C65" s="5">
        <f>+C64</f>
        <v>3.5</v>
      </c>
      <c r="D65" s="5">
        <f>+D64</f>
        <v>3.5</v>
      </c>
      <c r="E65" s="5">
        <f>+E64</f>
        <v>3.5</v>
      </c>
      <c r="F65" s="5">
        <f>+F64</f>
        <v>3.5</v>
      </c>
      <c r="G65" s="20" t="s">
        <v>50</v>
      </c>
      <c r="H65" s="28"/>
      <c r="I65" s="100"/>
      <c r="J65" s="203"/>
    </row>
    <row r="66" spans="1:11">
      <c r="A66" s="365"/>
      <c r="B66" s="1" t="s">
        <v>74</v>
      </c>
      <c r="C66" s="356">
        <f>+C91</f>
        <v>78.908174999999957</v>
      </c>
      <c r="D66" s="5">
        <f t="shared" ref="D66:F67" si="5">+C66</f>
        <v>78.908174999999957</v>
      </c>
      <c r="E66" s="5">
        <f t="shared" si="5"/>
        <v>78.908174999999957</v>
      </c>
      <c r="F66" s="5">
        <f t="shared" si="5"/>
        <v>78.908174999999957</v>
      </c>
      <c r="G66" s="25" t="s">
        <v>41</v>
      </c>
      <c r="H66" s="28"/>
      <c r="I66" s="100"/>
      <c r="J66" s="203"/>
    </row>
    <row r="67" spans="1:11">
      <c r="A67" s="365"/>
      <c r="B67" s="1" t="s">
        <v>75</v>
      </c>
      <c r="C67" s="356">
        <f>+C66</f>
        <v>78.908174999999957</v>
      </c>
      <c r="D67" s="5">
        <f t="shared" si="5"/>
        <v>78.908174999999957</v>
      </c>
      <c r="E67" s="5">
        <f t="shared" si="5"/>
        <v>78.908174999999957</v>
      </c>
      <c r="F67" s="5">
        <f t="shared" si="5"/>
        <v>78.908174999999957</v>
      </c>
      <c r="G67" s="25" t="s">
        <v>41</v>
      </c>
      <c r="H67" s="28"/>
      <c r="I67" s="100"/>
      <c r="J67" s="203"/>
    </row>
    <row r="68" spans="1:11">
      <c r="A68" s="365" t="s">
        <v>463</v>
      </c>
      <c r="B68" s="1" t="s">
        <v>433</v>
      </c>
      <c r="C68" s="356">
        <f>MAX(ABS($F$22))*(C43+C38)+MAX(0,$H$22)*C42/2</f>
        <v>112.5</v>
      </c>
      <c r="D68" s="5">
        <f>MAX(ABS($F$23))*(D43+D38)+MAX(0,$H$23)*D42/2</f>
        <v>1065</v>
      </c>
      <c r="E68" s="5">
        <f>MAX(ABS($F$24))*(E43+E38)+MAX(0,$H$24)*E42/2</f>
        <v>270</v>
      </c>
      <c r="F68" s="5">
        <f>MAX(ABS($F$25))*(F43+F38)+MAX(0,$H$25)*F42/2</f>
        <v>322.5</v>
      </c>
      <c r="G68" s="25" t="s">
        <v>77</v>
      </c>
      <c r="H68" s="28"/>
      <c r="I68" s="100"/>
      <c r="J68" s="203"/>
    </row>
    <row r="69" spans="1:11">
      <c r="A69" s="365" t="s">
        <v>463</v>
      </c>
      <c r="B69" s="1" t="s">
        <v>434</v>
      </c>
      <c r="C69" s="356">
        <f>MAX(ABS($G$22))*(C43+C38)+MAX($H$22,0)*C42/2</f>
        <v>225</v>
      </c>
      <c r="D69" s="5">
        <f>+MAX(ABS($G$23))*(D43+D38)+MAX($H$23,0)*D42/2</f>
        <v>1020</v>
      </c>
      <c r="E69" s="5">
        <f>+MAX(ABS($G$24))*(E43+E38)+MAX($H$24,0)*E42/2</f>
        <v>180</v>
      </c>
      <c r="F69" s="5">
        <f>+MAX(ABS($G$25))*(F43+F38)+MAX(0,$H$25)*F42/2</f>
        <v>547.5</v>
      </c>
      <c r="G69" s="25" t="s">
        <v>77</v>
      </c>
      <c r="H69" s="28"/>
      <c r="I69" s="100"/>
      <c r="J69" s="203"/>
    </row>
    <row r="70" spans="1:11">
      <c r="A70" s="367" t="s">
        <v>465</v>
      </c>
      <c r="B70" s="1" t="s">
        <v>79</v>
      </c>
      <c r="C70" s="361">
        <f>+(C58)*C42/2+C66*(C43-2/3*C64)</f>
        <v>1886.0683105605553</v>
      </c>
      <c r="D70" s="5">
        <f>+(D58)*D42/2+D66*(D43-2/3*D64)</f>
        <v>1886.0683105605553</v>
      </c>
      <c r="E70" s="5">
        <f>+(E58)*E42/2+E66*(E43-2/3*E64)</f>
        <v>1886.0683105605553</v>
      </c>
      <c r="F70" s="5">
        <f>+(F58)*F42/2+F66*(F43-2/3*F64)</f>
        <v>1886.0683105605553</v>
      </c>
      <c r="G70" s="25" t="s">
        <v>77</v>
      </c>
      <c r="H70" s="28"/>
      <c r="I70" s="100"/>
      <c r="J70" s="203"/>
    </row>
    <row r="71" spans="1:11">
      <c r="A71" s="366"/>
      <c r="B71" s="1" t="s">
        <v>80</v>
      </c>
      <c r="C71" s="361">
        <f>+(C58)*C42/2+C67*(C43-2/3*C65)</f>
        <v>1886.0683105605553</v>
      </c>
      <c r="D71" s="5">
        <f>+(D58)*D42/2+D67*(D43-2/3*D65)</f>
        <v>1886.0683105605553</v>
      </c>
      <c r="E71" s="5">
        <f>+(E58)*E42/2+E67*(E43-2/3*E65)</f>
        <v>1886.0683105605553</v>
      </c>
      <c r="F71" s="5">
        <f>+(F58)*F42/2+F67*(F43-2/3*F65)</f>
        <v>1886.0683105605553</v>
      </c>
      <c r="G71" s="25" t="s">
        <v>77</v>
      </c>
      <c r="H71" s="28"/>
      <c r="I71" s="100"/>
      <c r="J71" s="203"/>
    </row>
    <row r="72" spans="1:11">
      <c r="A72" s="366" t="s">
        <v>464</v>
      </c>
      <c r="B72" s="221" t="s">
        <v>441</v>
      </c>
      <c r="C72" s="356">
        <f>+C58+IF($H$22&gt;0, -$H$22,-C55-$H$22)</f>
        <v>1316.9151999999999</v>
      </c>
      <c r="D72" s="5">
        <f>+D58+IF($H$23&gt;0,-$H$23,-D55-$H$23)</f>
        <v>557.42501487777758</v>
      </c>
      <c r="E72" s="5">
        <f>+E58+IF($H$24&gt;0,-$H$24,-E55-$H$24)</f>
        <v>586.91520000000003</v>
      </c>
      <c r="F72" s="5">
        <f>+F58+IF($H$25&gt;0,-$H$25,-F55-$H$25)</f>
        <v>1007.4250148777776</v>
      </c>
      <c r="G72" s="25" t="s">
        <v>77</v>
      </c>
      <c r="H72" s="28"/>
      <c r="I72" s="100">
        <f>+(D$56+D$57+  IF(   $H$22&gt;0, 0, -$H$22   )  )</f>
        <v>1316.9152000000001</v>
      </c>
      <c r="J72" s="100">
        <f>+D$42/2</f>
        <v>1.55</v>
      </c>
      <c r="K72" s="100"/>
    </row>
    <row r="73" spans="1:11">
      <c r="A73" s="366"/>
      <c r="B73" s="221" t="s">
        <v>466</v>
      </c>
      <c r="C73" s="5">
        <f>+C56+C57+IF($H$22&gt;0, 0+C55, -$H$22+0)</f>
        <v>1316.9152000000001</v>
      </c>
      <c r="D73" s="5">
        <f>+D56+D57+IF($H$23&gt;0, 0+D55, -$H$23+0)</f>
        <v>1157.4250148777778</v>
      </c>
      <c r="E73" s="5">
        <f>+E56+E57+IF($H$24&gt;0, 0+E55, -$H$24+0)</f>
        <v>586.91520000000014</v>
      </c>
      <c r="F73" s="5">
        <f>+F56+F57+IF($H$25&gt;0, 0+F55, -$H$25+0)</f>
        <v>1157.4250148777778</v>
      </c>
      <c r="G73" s="25"/>
      <c r="H73" s="28"/>
      <c r="I73" s="100"/>
      <c r="J73" s="100"/>
      <c r="K73" s="100"/>
    </row>
    <row r="74" spans="1:11">
      <c r="A74" s="365"/>
      <c r="B74" s="221" t="s">
        <v>435</v>
      </c>
      <c r="C74" s="5">
        <f>+C40+C47/3</f>
        <v>1.4333333333333336</v>
      </c>
      <c r="D74" s="5">
        <f>+D40+D47/3</f>
        <v>1.4333333333333336</v>
      </c>
      <c r="E74" s="5">
        <f>+E40+E47/3</f>
        <v>1.4333333333333336</v>
      </c>
      <c r="F74" s="5">
        <f>+F40+F47/3</f>
        <v>1.4333333333333336</v>
      </c>
      <c r="G74" s="25"/>
      <c r="H74" s="28"/>
      <c r="I74" s="278">
        <f>+ D105</f>
        <v>78.908174999999957</v>
      </c>
      <c r="J74" s="203"/>
    </row>
    <row r="75" spans="1:11">
      <c r="A75" s="365"/>
      <c r="B75" s="221" t="s">
        <v>436</v>
      </c>
      <c r="C75" s="5">
        <f>+C40/3*(C43+2*C47)/(C43+C47)</f>
        <v>0.19595959595959594</v>
      </c>
      <c r="D75" s="5">
        <f>+D40/3*(D43+2*D47)/(D43+D47)</f>
        <v>0.19595959595959594</v>
      </c>
      <c r="E75" s="5">
        <f>+E40/3*(E43+2*E47)/(E43+E47)</f>
        <v>0.19595959595959594</v>
      </c>
      <c r="F75" s="5">
        <f>+F40/3*(F43+2*F47)/(F43+F47)</f>
        <v>0.19595959595959594</v>
      </c>
      <c r="G75" s="25"/>
      <c r="H75" s="28"/>
      <c r="I75" s="100"/>
      <c r="J75" s="203"/>
    </row>
    <row r="76" spans="1:11">
      <c r="A76" s="365" t="s">
        <v>460</v>
      </c>
      <c r="B76" s="221" t="s">
        <v>437</v>
      </c>
      <c r="C76" s="5">
        <f>0.5*C47*$C$13*C47*C39*$C$10/$J$89</f>
        <v>29.190374999999982</v>
      </c>
      <c r="D76" s="5">
        <f>0.5*D47*$C$13*D47*D39*$C$10/$J$89</f>
        <v>29.190374999999982</v>
      </c>
      <c r="E76" s="5">
        <f>0.5*E47*$C$13*E47*E39*$C$10/$J$89</f>
        <v>29.190374999999982</v>
      </c>
      <c r="F76" s="5">
        <f>0.5*F47*$C$13*F47*F39*$C$10/$J$89</f>
        <v>29.190374999999982</v>
      </c>
      <c r="G76" s="25"/>
      <c r="H76" s="28"/>
      <c r="I76" s="100"/>
      <c r="J76" s="203"/>
    </row>
    <row r="77" spans="1:11">
      <c r="A77" s="365" t="s">
        <v>461</v>
      </c>
      <c r="B77" s="221" t="s">
        <v>438</v>
      </c>
      <c r="C77" s="5">
        <f>0.5*(C47*$C$13+C43*$C$13)*C40*C42*$C$10/$J$89</f>
        <v>49.717799999999976</v>
      </c>
      <c r="D77" s="5">
        <f>0.5*(D47*$C$13+D43*$C$13)*D40*D42*$C$10/$J$89</f>
        <v>49.717799999999976</v>
      </c>
      <c r="E77" s="5">
        <f>0.5*(E47*$C$13+E43*$C$13)*E40*E42*$C$10/$J$89</f>
        <v>49.717799999999976</v>
      </c>
      <c r="F77" s="5">
        <f>0.5*(F47*$C$13+F43*$C$13)*F40*F42*$C$10/$J$89</f>
        <v>49.717799999999976</v>
      </c>
      <c r="G77" s="25"/>
      <c r="H77" s="28"/>
      <c r="I77" s="100"/>
      <c r="J77" s="203"/>
    </row>
    <row r="78" spans="1:11">
      <c r="A78" s="365"/>
      <c r="B78" s="221" t="s">
        <v>439</v>
      </c>
      <c r="C78" s="6">
        <f>+C76+C77</f>
        <v>78.908174999999957</v>
      </c>
      <c r="D78" s="5">
        <f>+D76+D77</f>
        <v>78.908174999999957</v>
      </c>
      <c r="E78" s="5">
        <f>+E76+E77</f>
        <v>78.908174999999957</v>
      </c>
      <c r="F78" s="5">
        <f>+F76+F77</f>
        <v>78.908174999999957</v>
      </c>
      <c r="G78" s="25"/>
      <c r="H78" s="28"/>
      <c r="I78" s="100"/>
      <c r="J78" s="203"/>
    </row>
    <row r="79" spans="1:11">
      <c r="A79" s="365"/>
      <c r="B79" s="221" t="s">
        <v>440</v>
      </c>
      <c r="C79" s="6">
        <f>+(C74*C76+C75*C77)/C78</f>
        <v>0.65369928400954647</v>
      </c>
      <c r="D79" s="5">
        <f>+(D74*D76+D75*D77)/D78</f>
        <v>0.65369928400954647</v>
      </c>
      <c r="E79" s="5">
        <f>+(E74*E76+E75*E77)/E78</f>
        <v>0.65369928400954647</v>
      </c>
      <c r="F79" s="5">
        <f>+(F74*F76+F75*F77)/F78</f>
        <v>0.65369928400954647</v>
      </c>
      <c r="G79" s="25"/>
      <c r="H79" s="28"/>
      <c r="I79" s="100"/>
      <c r="J79" s="203"/>
    </row>
    <row r="80" spans="1:11">
      <c r="A80" s="365" t="s">
        <v>462</v>
      </c>
      <c r="B80" s="221" t="s">
        <v>79</v>
      </c>
      <c r="C80" s="356">
        <f>+C73*C42/2+C78*C79</f>
        <v>2092.8007775000001</v>
      </c>
      <c r="D80" s="5">
        <f>+D73*D42/2+D78*D79</f>
        <v>1845.5909905605558</v>
      </c>
      <c r="E80" s="5">
        <f>+E73*E42/2+E78*E79</f>
        <v>961.30077750000021</v>
      </c>
      <c r="F80" s="5">
        <f>+F73*F42/2+F78*F79</f>
        <v>1845.5909905605558</v>
      </c>
      <c r="G80" s="25">
        <f>+C78*C79</f>
        <v>51.582217499999963</v>
      </c>
      <c r="H80" s="28"/>
      <c r="I80" s="100"/>
      <c r="J80" s="203"/>
    </row>
    <row r="81" spans="1:12">
      <c r="A81" s="365" t="s">
        <v>462</v>
      </c>
      <c r="B81" s="221" t="s">
        <v>80</v>
      </c>
      <c r="C81" s="356">
        <f>+C73*C42/2+C78*C79</f>
        <v>2092.8007775000001</v>
      </c>
      <c r="D81" s="5">
        <f>+D73*D42/2+D78*D79</f>
        <v>1845.5909905605558</v>
      </c>
      <c r="E81" s="5">
        <f>+E73*E42/2+E78*E79</f>
        <v>961.30077750000021</v>
      </c>
      <c r="F81" s="5">
        <f>+F73*F42/2+F78*F79</f>
        <v>1845.5909905605558</v>
      </c>
      <c r="G81" s="25"/>
      <c r="H81" s="28"/>
      <c r="I81" s="100"/>
      <c r="J81" s="203"/>
    </row>
    <row r="82" spans="1:12">
      <c r="A82" s="365" t="s">
        <v>467</v>
      </c>
      <c r="B82" s="363" t="s">
        <v>300</v>
      </c>
      <c r="C82" s="356">
        <f>+MIN(C80/C69,C81/C68)</f>
        <v>9.3013367888888894</v>
      </c>
      <c r="D82" s="356">
        <f>+MIN(D80/D69,D81/D68)</f>
        <v>1.7329492869113201</v>
      </c>
      <c r="E82" s="356">
        <f>+MIN(E80/E69,E81/E68)</f>
        <v>3.5603732500000009</v>
      </c>
      <c r="F82" s="356">
        <f>+MIN(F80/F69,F81/F68)</f>
        <v>3.3709424485124306</v>
      </c>
      <c r="G82" s="25"/>
      <c r="H82" s="28"/>
      <c r="I82" s="100"/>
      <c r="J82" s="203"/>
    </row>
    <row r="83" spans="1:12">
      <c r="A83" s="365" t="s">
        <v>468</v>
      </c>
      <c r="B83" s="221"/>
      <c r="C83" s="5"/>
      <c r="D83" s="5"/>
      <c r="E83" s="5"/>
      <c r="F83" s="5"/>
      <c r="G83" s="25" t="s">
        <v>77</v>
      </c>
      <c r="H83" s="28"/>
      <c r="I83" s="100"/>
      <c r="J83" s="203"/>
    </row>
    <row r="84" spans="1:12" ht="15.75">
      <c r="A84" s="367" t="s">
        <v>465</v>
      </c>
      <c r="B84" s="176" t="s">
        <v>300</v>
      </c>
      <c r="C84" s="368">
        <f>+MIN(C70/C69,C71/C68)</f>
        <v>8.3825258247135785</v>
      </c>
      <c r="D84" s="368">
        <f>+MIN(D70/D69,D71/D68)</f>
        <v>1.7709561601507562</v>
      </c>
      <c r="E84" s="368">
        <f>+MIN(E70/E69,E71/E68)</f>
        <v>6.985438187261316</v>
      </c>
      <c r="F84" s="368">
        <f>+MIN(F70/F69,F71/F68)</f>
        <v>3.4448736265946218</v>
      </c>
      <c r="G84" s="193"/>
      <c r="H84" s="28"/>
      <c r="I84" s="100" t="s">
        <v>302</v>
      </c>
      <c r="J84" s="203">
        <f>+MIN(C84:F84)</f>
        <v>1.7709561601507562</v>
      </c>
      <c r="K84" t="s">
        <v>307</v>
      </c>
      <c r="L84">
        <v>1.5</v>
      </c>
    </row>
    <row r="85" spans="1:12">
      <c r="A85" s="367" t="s">
        <v>465</v>
      </c>
      <c r="B85" s="1" t="s">
        <v>71</v>
      </c>
      <c r="C85" s="368" t="str">
        <f>+IF(C84&gt;1.5,"OK","NO CUMPLE")</f>
        <v>OK</v>
      </c>
      <c r="D85" s="368" t="str">
        <f>+IF(D84&gt;1.5,"OK","NO CUMPLE")</f>
        <v>OK</v>
      </c>
      <c r="E85" s="368" t="str">
        <f>+IF(E84&gt;1.5,"OK","NO CUMPLE")</f>
        <v>OK</v>
      </c>
      <c r="F85" s="368" t="str">
        <f>+IF(F84&gt;1.5,"OK","NO CUMPLE")</f>
        <v>OK</v>
      </c>
      <c r="G85" s="194"/>
      <c r="H85" s="28"/>
      <c r="I85" s="100"/>
      <c r="J85" s="203"/>
    </row>
    <row r="86" spans="1:12">
      <c r="A86" s="365"/>
      <c r="B86" s="230" t="s">
        <v>81</v>
      </c>
      <c r="C86" s="246">
        <v>1</v>
      </c>
      <c r="D86" s="246">
        <v>2</v>
      </c>
      <c r="E86" s="1">
        <v>3</v>
      </c>
      <c r="F86" s="1">
        <v>4</v>
      </c>
      <c r="G86" s="192"/>
      <c r="H86" s="28"/>
      <c r="I86" s="100"/>
      <c r="J86" s="203" t="s">
        <v>417</v>
      </c>
    </row>
    <row r="87" spans="1:12">
      <c r="A87" s="365"/>
      <c r="B87" s="1" t="s">
        <v>413</v>
      </c>
      <c r="C87" s="357">
        <f>C56+C57-MIN($H$22)+IF($H$22&gt;0,C55)</f>
        <v>1316.9152000000001</v>
      </c>
      <c r="D87" s="295">
        <f>D56+D57-MIN($H$23)+IF($H$23&gt;0,D55)</f>
        <v>557.4250148777777</v>
      </c>
      <c r="E87" s="6">
        <f>E56+E57-MIN($H$24)+IF($H$24&gt;0,E55)</f>
        <v>586.91520000000014</v>
      </c>
      <c r="F87" s="295">
        <f>F56+F57-MIN($H$25)+IF($H$25&gt;0,F55)</f>
        <v>1007.4250148777777</v>
      </c>
      <c r="G87" s="25" t="s">
        <v>41</v>
      </c>
      <c r="H87" s="28"/>
      <c r="I87" s="100" t="s">
        <v>414</v>
      </c>
      <c r="J87" s="203">
        <v>1.5</v>
      </c>
    </row>
    <row r="88" spans="1:12">
      <c r="A88" s="365"/>
      <c r="B88" s="1" t="s">
        <v>83</v>
      </c>
      <c r="C88" s="356">
        <f>+MAX(ABS(F22))</f>
        <v>25</v>
      </c>
      <c r="D88" s="5">
        <f>+MAX(ABS(F23))</f>
        <v>30</v>
      </c>
      <c r="E88" s="5">
        <f>+MAX(ABS(F24))</f>
        <v>60</v>
      </c>
      <c r="F88" s="5">
        <f>+MAX(ABS(F25))</f>
        <v>20</v>
      </c>
      <c r="G88" s="25" t="s">
        <v>41</v>
      </c>
      <c r="H88" s="28"/>
      <c r="I88" s="100" t="s">
        <v>415</v>
      </c>
      <c r="J88" s="203">
        <v>4</v>
      </c>
    </row>
    <row r="89" spans="1:12">
      <c r="A89" s="365"/>
      <c r="B89" s="1" t="s">
        <v>84</v>
      </c>
      <c r="C89" s="356">
        <f>+MAX(ABS(G22))</f>
        <v>50</v>
      </c>
      <c r="D89" s="5">
        <f>+MAX(ABS(G23))</f>
        <v>20</v>
      </c>
      <c r="E89" s="5">
        <f>+MAX(ABS(G24))</f>
        <v>40</v>
      </c>
      <c r="F89" s="5">
        <f>+MAX(ABS(G25))</f>
        <v>70</v>
      </c>
      <c r="G89" s="25" t="s">
        <v>41</v>
      </c>
      <c r="H89" s="28"/>
      <c r="I89" s="100" t="s">
        <v>416</v>
      </c>
      <c r="J89" s="203">
        <v>4</v>
      </c>
    </row>
    <row r="90" spans="1:12">
      <c r="A90" s="365"/>
      <c r="B90" s="1" t="s">
        <v>85</v>
      </c>
      <c r="C90" s="5">
        <f>+IF($D$5="GRANULAR",C87*TAN($C$7*PI()/180)/$J$87,$C$9*C42^2/$J$88)</f>
        <v>506.88089681327324</v>
      </c>
      <c r="D90" s="5">
        <f>+IF($D$5="GRANULAR",D87*TAN($C$7*PI()/180)/$J$87,$C$9*D42^2/$J$88)</f>
        <v>214.55298826181073</v>
      </c>
      <c r="E90" s="5">
        <f>+IF($D$5="GRANULAR",E87*TAN($C$7*PI()/180)/$J$87,$C$9*E42^2/$J$88)</f>
        <v>225.90376580765542</v>
      </c>
      <c r="F90" s="5">
        <f>+IF($D$5="GRANULAR",F87*TAN($C$7*PI()/180)/$J$87,$C$9*F42^2/$J$88)</f>
        <v>387.75806901869845</v>
      </c>
      <c r="G90" s="25" t="s">
        <v>41</v>
      </c>
      <c r="H90" s="28" t="str">
        <f>+$D$5</f>
        <v>GRANULAR</v>
      </c>
      <c r="I90" s="100"/>
      <c r="J90" s="203"/>
    </row>
    <row r="91" spans="1:12">
      <c r="A91" s="365"/>
      <c r="B91" s="349" t="s">
        <v>86</v>
      </c>
      <c r="C91" s="356">
        <f>(1/2*C47*$C$13*C47*C39*$C$10
+1/2*(C47*$C$13+C43*$C$13)*C40*C42*$C$10)/$J$89</f>
        <v>78.908174999999957</v>
      </c>
      <c r="D91" s="5">
        <f>(1/2*D47*$C$13*D47*D39*$C$10
+1/2*(D47*$C$13+D43*$C$13)*D40*D42*$C$10)/$J$89</f>
        <v>78.908174999999957</v>
      </c>
      <c r="E91" s="5">
        <f>(1/2*E47*$C$13*E47*E39*$C$10
+1/2*(E47*$C$13+E43*$C$13)*E40*E42*$C$10)/$J$89</f>
        <v>78.908174999999957</v>
      </c>
      <c r="F91" s="5">
        <f>(1/2*F47*$C$13*F47*F39*$C$10
+1/2*(F47*$C$13+F43*$C$13)*F40*F42*$C$10)/$J$89</f>
        <v>78.908174999999957</v>
      </c>
      <c r="G91" s="25" t="s">
        <v>41</v>
      </c>
      <c r="H91" s="28"/>
      <c r="I91" s="100"/>
      <c r="J91" s="203"/>
    </row>
    <row r="92" spans="1:12">
      <c r="A92" s="365"/>
      <c r="B92" s="1" t="s">
        <v>87</v>
      </c>
      <c r="C92" s="5" t="s">
        <v>412</v>
      </c>
      <c r="D92" s="5" t="s">
        <v>412</v>
      </c>
      <c r="E92" s="5" t="s">
        <v>412</v>
      </c>
      <c r="F92" s="5" t="s">
        <v>412</v>
      </c>
      <c r="G92" s="25" t="s">
        <v>41</v>
      </c>
      <c r="H92" s="28"/>
      <c r="I92" s="100"/>
      <c r="J92" s="203"/>
    </row>
    <row r="93" spans="1:12">
      <c r="A93" s="365"/>
      <c r="B93" s="349" t="s">
        <v>88</v>
      </c>
      <c r="C93" s="5">
        <f>+C90+C91</f>
        <v>585.78907181327315</v>
      </c>
      <c r="D93" s="5">
        <f>+D90+D91</f>
        <v>293.46116326181067</v>
      </c>
      <c r="E93" s="5">
        <f>+E90+E91</f>
        <v>304.81194080765539</v>
      </c>
      <c r="F93" s="5">
        <f>+F90+F91</f>
        <v>466.66624401869842</v>
      </c>
      <c r="G93" s="25" t="s">
        <v>41</v>
      </c>
      <c r="H93" s="28"/>
      <c r="I93" s="100"/>
      <c r="J93" s="203"/>
    </row>
    <row r="94" spans="1:12">
      <c r="A94" s="365" t="s">
        <v>464</v>
      </c>
      <c r="B94" s="1" t="s">
        <v>412</v>
      </c>
      <c r="C94" s="356">
        <f>+C93-C88</f>
        <v>560.78907181327315</v>
      </c>
      <c r="D94" s="5">
        <f>+D93-D88</f>
        <v>263.46116326181067</v>
      </c>
      <c r="E94" s="5">
        <f>+E93-E88</f>
        <v>244.81194080765539</v>
      </c>
      <c r="F94" s="5">
        <f>+F93-F88</f>
        <v>446.66624401869842</v>
      </c>
      <c r="G94" s="348"/>
      <c r="H94" s="28"/>
      <c r="I94" s="100"/>
      <c r="J94" s="203"/>
    </row>
    <row r="95" spans="1:12">
      <c r="A95" s="365" t="s">
        <v>464</v>
      </c>
      <c r="B95" s="1" t="s">
        <v>418</v>
      </c>
      <c r="C95" s="356">
        <f>+C93-C89</f>
        <v>535.78907181327315</v>
      </c>
      <c r="D95" s="5">
        <f>+D93-D89</f>
        <v>273.46116326181067</v>
      </c>
      <c r="E95" s="5">
        <f>+E93-E89</f>
        <v>264.81194080765539</v>
      </c>
      <c r="F95" s="5">
        <f>+F93-F89</f>
        <v>396.66624401869842</v>
      </c>
      <c r="G95" s="348"/>
      <c r="H95" s="28"/>
      <c r="I95" s="100"/>
      <c r="J95" s="203"/>
    </row>
    <row r="96" spans="1:12">
      <c r="A96" s="365" t="s">
        <v>469</v>
      </c>
      <c r="B96" s="362" t="s">
        <v>89</v>
      </c>
      <c r="C96" s="356">
        <f>+C93/ (  MAX(C88:C89)  )</f>
        <v>11.715781436265463</v>
      </c>
      <c r="D96" s="356">
        <f>+D93/ (  MAX(D88:D89)  )</f>
        <v>9.7820387753936888</v>
      </c>
      <c r="E96" s="356">
        <f>+E93/ (  MAX(E88:E89)  )</f>
        <v>5.0801990134609234</v>
      </c>
      <c r="F96" s="356">
        <f>+F93/ (  MAX(F88:F89)  )</f>
        <v>6.6666606288385486</v>
      </c>
      <c r="G96" s="195"/>
      <c r="H96" s="28"/>
      <c r="I96" s="100" t="s">
        <v>303</v>
      </c>
      <c r="J96" s="203">
        <f>+MIN(C96:F96)</f>
        <v>5.0801990134609234</v>
      </c>
      <c r="K96" t="s">
        <v>307</v>
      </c>
      <c r="L96">
        <v>1.5</v>
      </c>
    </row>
    <row r="97" spans="1:10" ht="15.75">
      <c r="A97" s="365"/>
      <c r="B97" s="176"/>
      <c r="C97" s="248"/>
      <c r="D97" s="248"/>
      <c r="E97" s="248"/>
      <c r="F97" s="248"/>
      <c r="G97" s="111"/>
      <c r="H97" s="28"/>
      <c r="I97" s="100"/>
      <c r="J97" s="203"/>
    </row>
    <row r="98" spans="1:10">
      <c r="A98" s="365"/>
      <c r="B98" s="1" t="s">
        <v>90</v>
      </c>
      <c r="C98" s="1">
        <v>1.5</v>
      </c>
      <c r="D98" s="1">
        <v>1.5</v>
      </c>
      <c r="E98" s="1">
        <v>1.5</v>
      </c>
      <c r="F98" s="1">
        <v>1.5</v>
      </c>
      <c r="G98" s="194"/>
      <c r="H98" s="28"/>
      <c r="I98" s="100"/>
      <c r="J98" s="203"/>
    </row>
    <row r="99" spans="1:10">
      <c r="A99" s="365" t="s">
        <v>470</v>
      </c>
      <c r="B99" s="1" t="s">
        <v>71</v>
      </c>
      <c r="C99" s="175" t="str">
        <f>+IF(C96&gt;C98,"OK","NO CUMPLE")</f>
        <v>OK</v>
      </c>
      <c r="D99" s="175" t="str">
        <f>+IF(D96&gt;D98,"OK","NO CUMPLE")</f>
        <v>OK</v>
      </c>
      <c r="E99" s="175" t="str">
        <f>+IF(E96&gt;E98,"OK","NO CUMPLE")</f>
        <v>OK</v>
      </c>
      <c r="F99" s="175" t="str">
        <f>+IF(F96&gt;F98,"OK","NO CUMPLE")</f>
        <v>OK</v>
      </c>
      <c r="G99" s="194"/>
      <c r="H99" s="28"/>
      <c r="I99" s="100"/>
      <c r="J99" s="203"/>
    </row>
    <row r="100" spans="1:10" ht="15.75" thickBot="1">
      <c r="A100" s="252"/>
      <c r="C100" s="12"/>
      <c r="D100" s="12"/>
      <c r="E100" s="12"/>
      <c r="F100" s="12"/>
      <c r="H100" s="28"/>
      <c r="I100" s="100"/>
      <c r="J100" s="203"/>
    </row>
    <row r="101" spans="1:10" ht="15.75" thickBot="1">
      <c r="A101" s="200">
        <v>4.2</v>
      </c>
      <c r="B101" s="200" t="s">
        <v>91</v>
      </c>
      <c r="C101" s="31"/>
      <c r="H101" s="28"/>
      <c r="I101" s="100"/>
      <c r="J101" s="203"/>
    </row>
    <row r="102" spans="1:10" hidden="1">
      <c r="A102" s="252"/>
      <c r="B102" s="233" t="s">
        <v>92</v>
      </c>
      <c r="C102" s="232">
        <v>1</v>
      </c>
      <c r="D102" s="232">
        <v>1</v>
      </c>
      <c r="E102" s="232">
        <v>1</v>
      </c>
      <c r="F102" s="232">
        <v>1</v>
      </c>
      <c r="G102" s="192"/>
      <c r="H102" s="28"/>
      <c r="I102" s="100"/>
      <c r="J102" s="203"/>
    </row>
    <row r="103" spans="1:10" hidden="1">
      <c r="A103" s="183"/>
      <c r="B103" s="1" t="s">
        <v>93</v>
      </c>
      <c r="C103" s="201">
        <f>+$C$43</f>
        <v>3.5</v>
      </c>
      <c r="D103" s="201">
        <f t="shared" ref="D103:F104" si="6">+$C$43</f>
        <v>3.5</v>
      </c>
      <c r="E103" s="201">
        <f t="shared" si="6"/>
        <v>3.5</v>
      </c>
      <c r="F103" s="201">
        <f t="shared" si="6"/>
        <v>3.5</v>
      </c>
      <c r="G103" s="20" t="s">
        <v>50</v>
      </c>
      <c r="H103" s="28"/>
      <c r="I103" s="100"/>
      <c r="J103" s="203"/>
    </row>
    <row r="104" spans="1:10" hidden="1">
      <c r="A104" s="238"/>
      <c r="B104" s="1" t="s">
        <v>94</v>
      </c>
      <c r="C104" s="201">
        <f>+$C$43</f>
        <v>3.5</v>
      </c>
      <c r="D104" s="201">
        <f t="shared" si="6"/>
        <v>3.5</v>
      </c>
      <c r="E104" s="201">
        <f t="shared" si="6"/>
        <v>3.5</v>
      </c>
      <c r="F104" s="201">
        <f t="shared" si="6"/>
        <v>3.5</v>
      </c>
      <c r="G104" s="20" t="s">
        <v>50</v>
      </c>
      <c r="H104" s="28"/>
      <c r="I104" s="100"/>
      <c r="J104" s="203"/>
    </row>
    <row r="105" spans="1:10" hidden="1">
      <c r="A105" s="183"/>
      <c r="B105" s="1" t="s">
        <v>74</v>
      </c>
      <c r="C105" s="201">
        <f>+$C$78</f>
        <v>78.908174999999957</v>
      </c>
      <c r="D105" s="201">
        <f t="shared" ref="D105:F106" si="7">+$C$78</f>
        <v>78.908174999999957</v>
      </c>
      <c r="E105" s="201">
        <f t="shared" si="7"/>
        <v>78.908174999999957</v>
      </c>
      <c r="F105" s="201">
        <f t="shared" si="7"/>
        <v>78.908174999999957</v>
      </c>
      <c r="G105" s="25" t="s">
        <v>41</v>
      </c>
      <c r="H105" s="28"/>
      <c r="I105" s="100"/>
      <c r="J105" s="203"/>
    </row>
    <row r="106" spans="1:10" hidden="1">
      <c r="A106" s="238"/>
      <c r="B106" s="1" t="s">
        <v>75</v>
      </c>
      <c r="C106" s="201">
        <f>+$C$78</f>
        <v>78.908174999999957</v>
      </c>
      <c r="D106" s="201">
        <f t="shared" si="7"/>
        <v>78.908174999999957</v>
      </c>
      <c r="E106" s="201">
        <f t="shared" si="7"/>
        <v>78.908174999999957</v>
      </c>
      <c r="F106" s="201">
        <f t="shared" si="7"/>
        <v>78.908174999999957</v>
      </c>
      <c r="G106" s="25" t="s">
        <v>41</v>
      </c>
      <c r="H106" s="28"/>
      <c r="I106" s="100"/>
      <c r="J106" s="203"/>
    </row>
    <row r="107" spans="1:10" hidden="1">
      <c r="A107" s="183"/>
      <c r="B107" s="1" t="s">
        <v>76</v>
      </c>
      <c r="C107" s="201">
        <f>+($G$22)*(C$43+C$38)+ IF(   $H$22&gt;0, $H$22,0   )*C$42/2</f>
        <v>225</v>
      </c>
      <c r="D107" s="201">
        <f>+($G$22)*(D$43+D$38)+ IF(   $H$22&gt;0, $H$22,0   )*D$42/2</f>
        <v>225</v>
      </c>
      <c r="E107" s="201">
        <f>+($G$22)*(E$43+E$38)+ IF(   $H$22&gt;0, $H$22,0   )*E$42/2</f>
        <v>225</v>
      </c>
      <c r="F107" s="201">
        <f>+($G$22)*(F$43+F$38)+ IF(   $H$22&gt;0, $H$22,0   )*F$42/2</f>
        <v>225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78</v>
      </c>
      <c r="C108" s="201">
        <f>+($F$22)*(C$43+C$38)+ IF(   $H$22&gt;0, $H$22,0   )*C$42/2</f>
        <v>112.5</v>
      </c>
      <c r="D108" s="201">
        <f>+($F$22)*(D$43+D$38)+ IF(   $H$22&gt;0, $H$22,0   )*D$42/2</f>
        <v>112.5</v>
      </c>
      <c r="E108" s="201">
        <f>+($F$22)*(E$43+E$38)+ IF(   $H$22&gt;0, $H$22,0   )*E$42/2</f>
        <v>112.5</v>
      </c>
      <c r="F108" s="201">
        <f>+($F$22)*(F$43+F$38)+ IF(   $H$22&gt;0, $H$22,0   )*F$42/2</f>
        <v>112.5</v>
      </c>
      <c r="G108" s="25" t="s">
        <v>77</v>
      </c>
      <c r="H108" s="28"/>
      <c r="I108" s="100"/>
      <c r="J108" s="203"/>
    </row>
    <row r="109" spans="1:10" hidden="1">
      <c r="A109" s="183"/>
      <c r="B109" s="1" t="s">
        <v>79</v>
      </c>
      <c r="C109" s="201">
        <f>+INDEX($C$80:$F$81,1,$H109)</f>
        <v>2092.8007775000001</v>
      </c>
      <c r="D109" s="201">
        <f>+INDEX($C$80:$F$81,1,$H109)</f>
        <v>2092.8007775000001</v>
      </c>
      <c r="E109" s="201">
        <f>+INDEX($C$80:$F$81,1,$H109)</f>
        <v>2092.8007775000001</v>
      </c>
      <c r="F109" s="201">
        <f>+INDEX($C$80:$F$81,1,$H109)</f>
        <v>2092.8007775000001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80</v>
      </c>
      <c r="C110" s="201">
        <f>+C109</f>
        <v>2092.8007775000001</v>
      </c>
      <c r="D110" s="201">
        <f>+D109</f>
        <v>2092.8007775000001</v>
      </c>
      <c r="E110" s="201">
        <f>+E109</f>
        <v>2092.8007775000001</v>
      </c>
      <c r="F110" s="201">
        <f>+F109</f>
        <v>2092.8007775000001</v>
      </c>
      <c r="G110" s="25" t="s">
        <v>77</v>
      </c>
      <c r="H110" s="28">
        <v>1</v>
      </c>
      <c r="I110" s="100"/>
      <c r="J110" s="203"/>
    </row>
    <row r="111" spans="1:10" hidden="1">
      <c r="A111" s="183"/>
      <c r="B111" s="1" t="s">
        <v>95</v>
      </c>
      <c r="C111" s="201">
        <f>+C114*C113</f>
        <v>60.917782500000222</v>
      </c>
      <c r="D111" s="201">
        <f>+D114*D113</f>
        <v>60.917782500000222</v>
      </c>
      <c r="E111" s="201">
        <f>+E114*E113</f>
        <v>60.917782500000222</v>
      </c>
      <c r="F111" s="201">
        <f>+F114*F113</f>
        <v>60.917782500000222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96</v>
      </c>
      <c r="C112" s="201">
        <f>+C115*C113</f>
        <v>173.41778250000024</v>
      </c>
      <c r="D112" s="201">
        <f>+D115*D113</f>
        <v>173.41778250000024</v>
      </c>
      <c r="E112" s="201">
        <f>+E115*E113</f>
        <v>173.41778250000024</v>
      </c>
      <c r="F112" s="201">
        <f>+F115*F113</f>
        <v>173.41778250000024</v>
      </c>
      <c r="G112" s="25" t="s">
        <v>77</v>
      </c>
      <c r="H112" s="28"/>
      <c r="I112" s="100"/>
      <c r="J112" s="203"/>
    </row>
    <row r="113" spans="1:12" hidden="1">
      <c r="A113" s="183"/>
      <c r="B113" s="1" t="s">
        <v>82</v>
      </c>
      <c r="C113" s="202">
        <f>+C$56+C$57+  IF(   $H$22&gt;0, -$H$22, -$H$22   )</f>
        <v>1316.9152000000001</v>
      </c>
      <c r="D113" s="202">
        <f>+D$56+D$57+  IF(   $H$22&gt;0, -$H$22, -$H$22   )</f>
        <v>1316.9152000000001</v>
      </c>
      <c r="E113" s="202">
        <f>+E$56+E$57+  IF(   $H$22&gt;0, -$H$22, -$H$22   )</f>
        <v>1316.9152000000001</v>
      </c>
      <c r="F113" s="202">
        <f>+F$56+F$57+  IF(   $H$22&gt;0, -$H$22, -$H$22   )</f>
        <v>1316.9152000000001</v>
      </c>
      <c r="G113" s="25" t="s">
        <v>41</v>
      </c>
      <c r="H113" s="28"/>
      <c r="I113" s="100"/>
      <c r="J113" s="203"/>
    </row>
    <row r="114" spans="1:12" hidden="1">
      <c r="A114" s="183"/>
      <c r="B114" s="1" t="s">
        <v>97</v>
      </c>
      <c r="C114" s="202">
        <f>+ABS(C$42/2-(C110-C108)/C113)</f>
        <v>4.6257938628091022E-2</v>
      </c>
      <c r="D114" s="202">
        <f>+ABS(D$42/2-(D110-D108)/D113)</f>
        <v>4.6257938628091022E-2</v>
      </c>
      <c r="E114" s="202">
        <f>+ABS(E$42/2-(E110-E108)/E113)</f>
        <v>4.6257938628091022E-2</v>
      </c>
      <c r="F114" s="202">
        <f>+ABS(F$42/2-(F110-F108)/F113)</f>
        <v>4.6257938628091022E-2</v>
      </c>
      <c r="G114" s="26" t="s">
        <v>50</v>
      </c>
      <c r="H114" s="28"/>
      <c r="I114" s="100"/>
      <c r="J114" s="203"/>
    </row>
    <row r="115" spans="1:12" hidden="1">
      <c r="A115" s="183"/>
      <c r="B115" s="1" t="s">
        <v>98</v>
      </c>
      <c r="C115" s="202">
        <f>+ABS(C$42/2-(C109-C107)/C113)</f>
        <v>0.13168485146196218</v>
      </c>
      <c r="D115" s="202">
        <f>+ABS(D$42/2-(D109-D107)/D113)</f>
        <v>0.13168485146196218</v>
      </c>
      <c r="E115" s="202">
        <f>+ABS(E$42/2-(E109-E107)/E113)</f>
        <v>0.13168485146196218</v>
      </c>
      <c r="F115" s="202">
        <f>+ABS(F$42/2-(F109-F107)/F113)</f>
        <v>0.13168485146196218</v>
      </c>
      <c r="G115" s="27" t="s">
        <v>50</v>
      </c>
      <c r="H115" s="28"/>
      <c r="I115" s="100"/>
      <c r="J115" s="203"/>
    </row>
    <row r="116" spans="1:12" hidden="1">
      <c r="A116" s="183"/>
      <c r="B116" s="1" t="s">
        <v>99</v>
      </c>
      <c r="C116" s="201">
        <f>+C$42/6</f>
        <v>0.51666666666666672</v>
      </c>
      <c r="D116" s="201">
        <f>+D$42/6</f>
        <v>0.51666666666666672</v>
      </c>
      <c r="E116" s="201">
        <f>+E$42/6</f>
        <v>0.51666666666666672</v>
      </c>
      <c r="F116" s="201">
        <f>+F$42/6</f>
        <v>0.51666666666666672</v>
      </c>
      <c r="G116" s="20" t="s">
        <v>50</v>
      </c>
      <c r="H116" s="28"/>
      <c r="I116" s="100"/>
      <c r="J116" s="203"/>
    </row>
    <row r="117" spans="1:12" hidden="1">
      <c r="A117" s="183"/>
      <c r="B117" s="1" t="s">
        <v>100</v>
      </c>
      <c r="C117" s="229"/>
      <c r="D117" s="229"/>
      <c r="E117" s="229"/>
      <c r="F117" s="229"/>
      <c r="G117" s="197"/>
      <c r="H117" s="28"/>
      <c r="I117" s="100"/>
      <c r="J117" s="203"/>
    </row>
    <row r="118" spans="1:12" hidden="1">
      <c r="A118" s="183"/>
      <c r="B118" s="198" t="s">
        <v>101</v>
      </c>
      <c r="C118" s="17">
        <f>+(C113/C$42^2)*(1+6*C114/C$42+6*C115/C$42)</f>
        <v>184.23183209694213</v>
      </c>
      <c r="D118" s="17">
        <f>+(D113/D$42^2)*(1+6*D114/D$42+6*D115/D$42)</f>
        <v>184.23183209694213</v>
      </c>
      <c r="E118" s="17">
        <f>+(E113/E$42^2)*(1+6*E114/E$42+6*E115/E$42)</f>
        <v>184.23183209694213</v>
      </c>
      <c r="F118" s="17">
        <f>+(F113/F$42^2)*(1+6*F114/F$42+6*F115/F$42)</f>
        <v>184.23183209694213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102</v>
      </c>
      <c r="C119" s="5">
        <f>+(C113/C$42^2)*(1+6*C114/C$42-6*C115/C$42)</f>
        <v>114.37807122956599</v>
      </c>
      <c r="D119" s="5">
        <f>+(D113/D$42^2)*(1+6*D114/D$42-6*D115/D$42)</f>
        <v>114.37807122956599</v>
      </c>
      <c r="E119" s="5">
        <f>+(E113/E$42^2)*(1+6*E114/E$42-6*E115/E$42)</f>
        <v>114.37807122956599</v>
      </c>
      <c r="F119" s="5">
        <f>+(F113/F$42^2)*(1+6*F114/F$42-6*F115/F$42)</f>
        <v>114.37807122956599</v>
      </c>
      <c r="G119" s="18" t="s">
        <v>13</v>
      </c>
      <c r="H119" s="28"/>
      <c r="I119" s="100"/>
      <c r="J119" s="203"/>
    </row>
    <row r="120" spans="1:12" hidden="1">
      <c r="A120" s="183"/>
      <c r="B120" s="199" t="s">
        <v>103</v>
      </c>
      <c r="C120" s="5">
        <f>+(C113/C$42^2)*(1-6*C114/C$42+6*C115/C$42)</f>
        <v>159.69377060185963</v>
      </c>
      <c r="D120" s="5">
        <f>+(D113/D$42^2)*(1-6*D114/D$42+6*D115/D$42)</f>
        <v>159.69377060185963</v>
      </c>
      <c r="E120" s="5">
        <f>+(E113/E$42^2)*(1-6*E114/E$42+6*E115/E$42)</f>
        <v>159.69377060185963</v>
      </c>
      <c r="F120" s="5">
        <f>+(F113/F$42^2)*(1-6*F114/F$42+6*F115/F$42)</f>
        <v>159.69377060185963</v>
      </c>
      <c r="G120" s="18" t="s">
        <v>13</v>
      </c>
      <c r="H120" s="28"/>
      <c r="I120" s="100"/>
      <c r="J120" s="203"/>
    </row>
    <row r="121" spans="1:12" hidden="1">
      <c r="A121" s="183"/>
      <c r="B121" s="198" t="s">
        <v>104</v>
      </c>
      <c r="C121" s="5">
        <f>+(C113/C$42^2)*(1-6*C114/C$42-6*C115/C$42)</f>
        <v>89.840009734483502</v>
      </c>
      <c r="D121" s="5">
        <f>+(D113/D$42^2)*(1-6*D114/D$42-6*D115/D$42)</f>
        <v>89.840009734483502</v>
      </c>
      <c r="E121" s="5">
        <f>+(E113/E$42^2)*(1-6*E114/E$42-6*E115/E$42)</f>
        <v>89.840009734483502</v>
      </c>
      <c r="F121" s="5">
        <f>+(F113/F$42^2)*(1-6*F114/F$42-6*F115/F$42)</f>
        <v>89.840009734483502</v>
      </c>
      <c r="G121" s="18" t="s">
        <v>13</v>
      </c>
      <c r="H121" s="28"/>
      <c r="I121" s="100" t="s">
        <v>304</v>
      </c>
      <c r="J121" s="203">
        <f>+MAX(C118:F121)</f>
        <v>184.23183209694213</v>
      </c>
      <c r="K121" t="s">
        <v>308</v>
      </c>
      <c r="L121" s="4">
        <f>+C122</f>
        <v>100</v>
      </c>
    </row>
    <row r="122" spans="1:12" ht="15.75" hidden="1">
      <c r="A122" s="183"/>
      <c r="B122" s="176" t="s">
        <v>105</v>
      </c>
      <c r="C122" s="17">
        <f>+$C$6</f>
        <v>100</v>
      </c>
      <c r="D122" s="17">
        <f>+$C$6</f>
        <v>100</v>
      </c>
      <c r="E122" s="17">
        <f>+$C$6</f>
        <v>100</v>
      </c>
      <c r="F122" s="17">
        <f>+$C$6</f>
        <v>100</v>
      </c>
      <c r="G122" s="18" t="s">
        <v>13</v>
      </c>
      <c r="H122" s="28"/>
      <c r="I122" s="100"/>
      <c r="J122" s="203"/>
    </row>
    <row r="123" spans="1:12" hidden="1">
      <c r="A123" s="183"/>
      <c r="B123" s="1" t="s">
        <v>71</v>
      </c>
      <c r="C123" s="175" t="str">
        <f>+IF(C118&lt;C122,"OK","NO CUMPLE")</f>
        <v>NO CUMPLE</v>
      </c>
      <c r="D123" s="175" t="str">
        <f>+IF(D118&lt;D122,"OK","NO CUMPLE")</f>
        <v>NO CUMPLE</v>
      </c>
      <c r="E123" s="175" t="str">
        <f>+IF(E118&lt;E122,"OK","NO CUMPLE")</f>
        <v>NO CUMPLE</v>
      </c>
      <c r="F123" s="175" t="str">
        <f>+IF(F118&lt;F122,"OK","NO CUMPLE")</f>
        <v>NO CUMPLE</v>
      </c>
      <c r="H123" s="28"/>
      <c r="I123" s="100"/>
      <c r="J123" s="203"/>
    </row>
    <row r="124" spans="1:12" hidden="1">
      <c r="A124" s="183"/>
      <c r="B124" s="233" t="s">
        <v>92</v>
      </c>
      <c r="C124" s="232">
        <v>2</v>
      </c>
      <c r="D124" s="232">
        <v>2</v>
      </c>
      <c r="E124" s="232">
        <v>2</v>
      </c>
      <c r="F124" s="232">
        <v>2</v>
      </c>
      <c r="G124" s="192"/>
      <c r="H124" s="28"/>
      <c r="I124" s="100"/>
      <c r="J124" s="203"/>
    </row>
    <row r="125" spans="1:12" hidden="1">
      <c r="A125" s="183"/>
      <c r="B125" s="1" t="s">
        <v>93</v>
      </c>
      <c r="C125" s="201">
        <f>+$C$43</f>
        <v>3.5</v>
      </c>
      <c r="D125" s="201">
        <f t="shared" ref="D125:F126" si="8">+$C$43</f>
        <v>3.5</v>
      </c>
      <c r="E125" s="201">
        <f t="shared" si="8"/>
        <v>3.5</v>
      </c>
      <c r="F125" s="201">
        <f t="shared" si="8"/>
        <v>3.5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94</v>
      </c>
      <c r="C126" s="201">
        <f>+$C$43</f>
        <v>3.5</v>
      </c>
      <c r="D126" s="201">
        <f t="shared" si="8"/>
        <v>3.5</v>
      </c>
      <c r="E126" s="201">
        <f t="shared" si="8"/>
        <v>3.5</v>
      </c>
      <c r="F126" s="201">
        <f t="shared" si="8"/>
        <v>3.5</v>
      </c>
      <c r="G126" s="20" t="s">
        <v>50</v>
      </c>
      <c r="H126" s="28"/>
      <c r="I126" s="100"/>
      <c r="J126" s="203"/>
    </row>
    <row r="127" spans="1:12" hidden="1">
      <c r="A127" s="183"/>
      <c r="B127" s="1" t="s">
        <v>74</v>
      </c>
      <c r="C127" s="201">
        <f>+$C$78</f>
        <v>78.908174999999957</v>
      </c>
      <c r="D127" s="201">
        <f t="shared" ref="D127:F128" si="9">+$C$78</f>
        <v>78.908174999999957</v>
      </c>
      <c r="E127" s="201">
        <f t="shared" si="9"/>
        <v>78.908174999999957</v>
      </c>
      <c r="F127" s="201">
        <f t="shared" si="9"/>
        <v>78.908174999999957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75</v>
      </c>
      <c r="C128" s="201">
        <f>+$C$78</f>
        <v>78.908174999999957</v>
      </c>
      <c r="D128" s="201">
        <f t="shared" si="9"/>
        <v>78.908174999999957</v>
      </c>
      <c r="E128" s="201">
        <f t="shared" si="9"/>
        <v>78.908174999999957</v>
      </c>
      <c r="F128" s="201">
        <f t="shared" si="9"/>
        <v>78.908174999999957</v>
      </c>
      <c r="G128" s="25" t="s">
        <v>41</v>
      </c>
      <c r="H128" s="28"/>
      <c r="I128" s="100"/>
      <c r="J128" s="203"/>
    </row>
    <row r="129" spans="1:12" hidden="1">
      <c r="A129" s="183"/>
      <c r="B129" s="1" t="s">
        <v>76</v>
      </c>
      <c r="C129" s="201">
        <f>+($G$22)*(C$43+C$38)+ IF(   $H$22&gt;0, $H$22,0   )*C$42/2</f>
        <v>225</v>
      </c>
      <c r="D129" s="201">
        <f>+($G$22)*(D$43+D$38)+ IF(   $H$22&gt;0, $H$22,0   )*D$42/2</f>
        <v>225</v>
      </c>
      <c r="E129" s="201">
        <f>+($G$22)*(E$43+E$38)+ IF(   $H$22&gt;0, $H$22,0   )*E$42/2</f>
        <v>225</v>
      </c>
      <c r="F129" s="201">
        <f>+($G$22)*(F$43+F$38)+ IF(   $H$22&gt;0, $H$22,0   )*F$42/2</f>
        <v>225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78</v>
      </c>
      <c r="C130" s="201">
        <f>+($F$22)*(C$43+C$38)+ IF(   $H$22&gt;0, $H$22,0   )*C$42/2</f>
        <v>112.5</v>
      </c>
      <c r="D130" s="201">
        <f>+($F$22)*(D$43+D$38)+ IF(   $H$22&gt;0, $H$22,0   )*D$42/2</f>
        <v>112.5</v>
      </c>
      <c r="E130" s="201">
        <f>+($F$22)*(E$43+E$38)+ IF(   $H$22&gt;0, $H$22,0   )*E$42/2</f>
        <v>112.5</v>
      </c>
      <c r="F130" s="201">
        <f>+($F$22)*(F$43+F$38)+ IF(   $H$22&gt;0, $H$22,0   )*F$42/2</f>
        <v>112.5</v>
      </c>
      <c r="G130" s="25" t="s">
        <v>77</v>
      </c>
      <c r="H130" s="28"/>
      <c r="I130" s="100"/>
      <c r="J130" s="203"/>
    </row>
    <row r="131" spans="1:12" hidden="1">
      <c r="A131" s="183"/>
      <c r="B131" s="1" t="s">
        <v>79</v>
      </c>
      <c r="C131" s="201">
        <f>+INDEX($C$80:$F$81,1,$H131)</f>
        <v>1845.5909905605558</v>
      </c>
      <c r="D131" s="201">
        <f>+INDEX($C$80:$F$81,1,$H131)</f>
        <v>1845.5909905605558</v>
      </c>
      <c r="E131" s="201">
        <f>+INDEX($C$80:$F$81,1,$H131)</f>
        <v>1845.5909905605558</v>
      </c>
      <c r="F131" s="201">
        <f>+INDEX($C$80:$F$81,1,$H131)</f>
        <v>1845.5909905605558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80</v>
      </c>
      <c r="C132" s="201">
        <f>+C131</f>
        <v>1845.5909905605558</v>
      </c>
      <c r="D132" s="201">
        <f>+D131</f>
        <v>1845.5909905605558</v>
      </c>
      <c r="E132" s="201">
        <f>+E131</f>
        <v>1845.5909905605558</v>
      </c>
      <c r="F132" s="201">
        <f>+F131</f>
        <v>1845.5909905605558</v>
      </c>
      <c r="G132" s="25" t="s">
        <v>77</v>
      </c>
      <c r="H132" s="28">
        <v>2</v>
      </c>
      <c r="I132" s="100"/>
      <c r="J132" s="203"/>
    </row>
    <row r="133" spans="1:12" hidden="1">
      <c r="A133" s="183"/>
      <c r="B133" s="1" t="s">
        <v>95</v>
      </c>
      <c r="C133" s="201">
        <f>+C136*C135</f>
        <v>869.08221750000041</v>
      </c>
      <c r="D133" s="201">
        <f>+D136*D135</f>
        <v>869.08221750000041</v>
      </c>
      <c r="E133" s="201">
        <f>+E136*E135</f>
        <v>869.08221750000041</v>
      </c>
      <c r="F133" s="201">
        <f>+F136*F135</f>
        <v>869.08221750000041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96</v>
      </c>
      <c r="C134" s="201">
        <f>+C137*C135</f>
        <v>756.58221750000041</v>
      </c>
      <c r="D134" s="201">
        <f>+D137*D135</f>
        <v>756.58221750000041</v>
      </c>
      <c r="E134" s="201">
        <f>+E137*E135</f>
        <v>756.58221750000041</v>
      </c>
      <c r="F134" s="201">
        <f>+F137*F135</f>
        <v>756.58221750000041</v>
      </c>
      <c r="G134" s="25" t="s">
        <v>77</v>
      </c>
      <c r="H134" s="28"/>
      <c r="I134" s="100"/>
      <c r="J134" s="203"/>
    </row>
    <row r="135" spans="1:12" hidden="1">
      <c r="A135" s="183"/>
      <c r="B135" s="1" t="s">
        <v>82</v>
      </c>
      <c r="C135" s="202">
        <f>+C$56+C$57+  IF(   $H$23&gt;0, -$H$23+C$55, -$H$23   )</f>
        <v>557.4250148777777</v>
      </c>
      <c r="D135" s="202">
        <f>+D$56+D$57+  IF(   $H$23&gt;0, -$H$23+D$55, -$H$23   )</f>
        <v>557.4250148777777</v>
      </c>
      <c r="E135" s="202">
        <f>+E$56+E$57+  IF(   $H$23&gt;0, -$H$23+E$55, -$H$23   )</f>
        <v>557.4250148777777</v>
      </c>
      <c r="F135" s="202">
        <f>+F$56+F$57+  IF(   $H$23&gt;0, -$H$23+F$55, -$H$23   )</f>
        <v>557.4250148777777</v>
      </c>
      <c r="G135" s="25" t="s">
        <v>41</v>
      </c>
      <c r="H135" s="28"/>
      <c r="I135" s="100"/>
      <c r="J135" s="203"/>
    </row>
    <row r="136" spans="1:12" hidden="1">
      <c r="A136" s="183"/>
      <c r="B136" s="1" t="s">
        <v>97</v>
      </c>
      <c r="C136" s="202">
        <f>+ABS(C$42/2-(C132-C130)/C135)</f>
        <v>1.5591015729542697</v>
      </c>
      <c r="D136" s="202">
        <f>+ABS(D$42/2-(D132-D130)/D135)</f>
        <v>1.5591015729542697</v>
      </c>
      <c r="E136" s="202">
        <f>+ABS(E$42/2-(E132-E130)/E135)</f>
        <v>1.5591015729542697</v>
      </c>
      <c r="F136" s="202">
        <f>+ABS(F$42/2-(F132-F130)/F135)</f>
        <v>1.5591015729542697</v>
      </c>
      <c r="G136" s="26" t="s">
        <v>50</v>
      </c>
      <c r="H136" s="28"/>
      <c r="I136" s="100"/>
      <c r="J136" s="203"/>
    </row>
    <row r="137" spans="1:12" hidden="1">
      <c r="A137" s="183"/>
      <c r="B137" s="1" t="s">
        <v>98</v>
      </c>
      <c r="C137" s="202">
        <f>+ABS(C$42/2-(C131-C129)/C135)</f>
        <v>1.3572807055777545</v>
      </c>
      <c r="D137" s="202">
        <f>+ABS(D$42/2-(D131-D129)/D135)</f>
        <v>1.3572807055777545</v>
      </c>
      <c r="E137" s="202">
        <f>+ABS(E$42/2-(E131-E129)/E135)</f>
        <v>1.3572807055777545</v>
      </c>
      <c r="F137" s="202">
        <f>+ABS(F$42/2-(F131-F129)/F135)</f>
        <v>1.3572807055777545</v>
      </c>
      <c r="G137" s="27" t="s">
        <v>50</v>
      </c>
      <c r="H137" s="28"/>
      <c r="I137" s="100"/>
      <c r="J137" s="203"/>
    </row>
    <row r="138" spans="1:12" hidden="1">
      <c r="A138" s="183"/>
      <c r="B138" s="1" t="s">
        <v>99</v>
      </c>
      <c r="C138" s="201">
        <f>+C$42/6</f>
        <v>0.51666666666666672</v>
      </c>
      <c r="D138" s="201">
        <f>+D$42/6</f>
        <v>0.51666666666666672</v>
      </c>
      <c r="E138" s="201">
        <f>+E$42/6</f>
        <v>0.51666666666666672</v>
      </c>
      <c r="F138" s="201">
        <f>+F$42/6</f>
        <v>0.51666666666666672</v>
      </c>
      <c r="G138" s="20" t="s">
        <v>50</v>
      </c>
      <c r="H138" s="28"/>
      <c r="I138" s="100"/>
      <c r="J138" s="203"/>
    </row>
    <row r="139" spans="1:12" hidden="1">
      <c r="A139" s="183"/>
      <c r="B139" s="1" t="s">
        <v>100</v>
      </c>
      <c r="C139" s="196"/>
      <c r="D139" s="196"/>
      <c r="E139" s="196"/>
      <c r="F139" s="196"/>
      <c r="G139" s="197"/>
      <c r="H139" s="28"/>
      <c r="I139" s="100"/>
      <c r="J139" s="203"/>
    </row>
    <row r="140" spans="1:12" hidden="1">
      <c r="A140" s="183"/>
      <c r="B140" s="198" t="s">
        <v>101</v>
      </c>
      <c r="C140" s="17">
        <f>+(C135/C$42^2)*(1+6*C136/C$42+6*C137/C$42)</f>
        <v>385.41855446682268</v>
      </c>
      <c r="D140" s="17">
        <f>+(D135/D$42^2)*(1+6*D136/D$42+6*D137/D$42)</f>
        <v>385.41855446682268</v>
      </c>
      <c r="E140" s="17">
        <f>+(E135/E$42^2)*(1+6*E136/E$42+6*E137/E$42)</f>
        <v>385.41855446682268</v>
      </c>
      <c r="F140" s="17">
        <f>+(F135/F$42^2)*(1+6*F136/F$42+6*F137/F$42)</f>
        <v>385.41855446682268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102</v>
      </c>
      <c r="C141" s="5">
        <f>+(C135/C$42^2)*(1+6*C136/C$42-6*C137/C$42)</f>
        <v>80.662533856571144</v>
      </c>
      <c r="D141" s="5">
        <f>+(D135/D$42^2)*(1+6*D136/D$42-6*D137/D$42)</f>
        <v>80.662533856571144</v>
      </c>
      <c r="E141" s="5">
        <f>+(E135/E$42^2)*(1+6*E136/E$42-6*E137/E$42)</f>
        <v>80.662533856571144</v>
      </c>
      <c r="F141" s="5">
        <f>+(F135/F$42^2)*(1+6*F136/F$42-6*F137/F$42)</f>
        <v>80.662533856571144</v>
      </c>
      <c r="G141" s="18" t="s">
        <v>13</v>
      </c>
      <c r="H141" s="28"/>
      <c r="I141" s="100"/>
      <c r="J141" s="203"/>
    </row>
    <row r="142" spans="1:12" hidden="1">
      <c r="A142" s="183"/>
      <c r="B142" s="199" t="s">
        <v>103</v>
      </c>
      <c r="C142" s="5">
        <f>+(C135/C$42^2)*(1-6*C136/C$42+6*C137/C$42)</f>
        <v>35.346834484277508</v>
      </c>
      <c r="D142" s="5">
        <f>+(D135/D$42^2)*(1-6*D136/D$42+6*D137/D$42)</f>
        <v>35.346834484277508</v>
      </c>
      <c r="E142" s="5">
        <f>+(E135/E$42^2)*(1-6*E136/E$42+6*E137/E$42)</f>
        <v>35.346834484277508</v>
      </c>
      <c r="F142" s="5">
        <f>+(F135/F$42^2)*(1-6*F136/F$42+6*F137/F$42)</f>
        <v>35.346834484277508</v>
      </c>
      <c r="G142" s="18" t="s">
        <v>13</v>
      </c>
      <c r="H142" s="28"/>
      <c r="I142" s="100"/>
      <c r="J142" s="203"/>
    </row>
    <row r="143" spans="1:12" hidden="1">
      <c r="A143" s="183"/>
      <c r="B143" s="198" t="s">
        <v>104</v>
      </c>
      <c r="C143" s="5">
        <f>+(C135/C$42^2)*(1-6*C136/C$42-6*C137/C$42)</f>
        <v>-269.40918612597397</v>
      </c>
      <c r="D143" s="5">
        <f>+(D135/D$42^2)*(1-6*D136/D$42-6*D137/D$42)</f>
        <v>-269.40918612597397</v>
      </c>
      <c r="E143" s="5">
        <f>+(E135/E$42^2)*(1-6*E136/E$42-6*E137/E$42)</f>
        <v>-269.40918612597397</v>
      </c>
      <c r="F143" s="5">
        <f>+(F135/F$42^2)*(1-6*F136/F$42-6*F137/F$42)</f>
        <v>-269.40918612597397</v>
      </c>
      <c r="G143" s="18" t="s">
        <v>13</v>
      </c>
      <c r="H143" s="28"/>
      <c r="I143" s="100" t="s">
        <v>304</v>
      </c>
      <c r="J143" s="203">
        <f>+MAX(C140:F143)</f>
        <v>385.41855446682268</v>
      </c>
      <c r="K143" t="s">
        <v>308</v>
      </c>
      <c r="L143" s="4">
        <f>+C144</f>
        <v>100</v>
      </c>
    </row>
    <row r="144" spans="1:12" ht="15.75" hidden="1">
      <c r="A144" s="183"/>
      <c r="B144" s="176" t="s">
        <v>105</v>
      </c>
      <c r="C144" s="17">
        <f>+$C$6</f>
        <v>100</v>
      </c>
      <c r="D144" s="17">
        <f>+$C$6</f>
        <v>100</v>
      </c>
      <c r="E144" s="17">
        <f>+$C$6</f>
        <v>100</v>
      </c>
      <c r="F144" s="17">
        <f>+$C$6</f>
        <v>100</v>
      </c>
      <c r="G144" s="18" t="s">
        <v>13</v>
      </c>
      <c r="H144" s="28"/>
      <c r="I144" s="100"/>
      <c r="J144" s="203"/>
    </row>
    <row r="145" spans="1:10" hidden="1">
      <c r="A145" s="183"/>
      <c r="B145" s="1" t="s">
        <v>71</v>
      </c>
      <c r="C145" s="175" t="str">
        <f>+IF(C140&lt;C144,"OK","NO CUMPLE")</f>
        <v>NO CUMPLE</v>
      </c>
      <c r="D145" s="175" t="str">
        <f>+IF(D140&lt;D144,"OK","NO CUMPLE")</f>
        <v>NO CUMPLE</v>
      </c>
      <c r="E145" s="175" t="str">
        <f>+IF(E140&lt;E144,"OK","NO CUMPLE")</f>
        <v>NO CUMPLE</v>
      </c>
      <c r="F145" s="175" t="str">
        <f>+IF(F140&lt;F144,"OK","NO CUMPLE")</f>
        <v>NO CUMPLE</v>
      </c>
      <c r="H145" s="28"/>
      <c r="I145" s="100"/>
      <c r="J145" s="203"/>
    </row>
    <row r="146" spans="1:10" hidden="1">
      <c r="A146" s="183"/>
      <c r="B146" s="233" t="s">
        <v>92</v>
      </c>
      <c r="C146" s="232">
        <f>+$A$24</f>
        <v>3</v>
      </c>
      <c r="D146" s="232">
        <f>+$A$24</f>
        <v>3</v>
      </c>
      <c r="E146" s="232">
        <f>+$A$24</f>
        <v>3</v>
      </c>
      <c r="F146" s="232">
        <f>+$A$24</f>
        <v>3</v>
      </c>
      <c r="G146" s="192"/>
      <c r="H146" s="28"/>
      <c r="I146" s="100"/>
      <c r="J146" s="203"/>
    </row>
    <row r="147" spans="1:10" hidden="1">
      <c r="A147" s="183"/>
      <c r="B147" s="1" t="s">
        <v>93</v>
      </c>
      <c r="C147" s="356">
        <f>+$C$43</f>
        <v>3.5</v>
      </c>
      <c r="D147" s="201">
        <f t="shared" ref="D147:F148" si="10">+$C$43</f>
        <v>3.5</v>
      </c>
      <c r="E147" s="201">
        <f t="shared" si="10"/>
        <v>3.5</v>
      </c>
      <c r="F147" s="201">
        <f t="shared" si="10"/>
        <v>3.5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94</v>
      </c>
      <c r="C148" s="356">
        <f>+$C$43</f>
        <v>3.5</v>
      </c>
      <c r="D148" s="201">
        <f t="shared" si="10"/>
        <v>3.5</v>
      </c>
      <c r="E148" s="201">
        <f t="shared" si="10"/>
        <v>3.5</v>
      </c>
      <c r="F148" s="201">
        <f t="shared" si="10"/>
        <v>3.5</v>
      </c>
      <c r="G148" s="20" t="s">
        <v>50</v>
      </c>
      <c r="H148" s="28"/>
      <c r="I148" s="100"/>
      <c r="J148" s="203"/>
    </row>
    <row r="149" spans="1:10" hidden="1">
      <c r="A149" s="183"/>
      <c r="B149" s="1" t="s">
        <v>74</v>
      </c>
      <c r="C149" s="356">
        <f>+$C$78</f>
        <v>78.908174999999957</v>
      </c>
      <c r="D149" s="201">
        <f t="shared" ref="D149:F150" si="11">+$C$78</f>
        <v>78.908174999999957</v>
      </c>
      <c r="E149" s="201">
        <f t="shared" si="11"/>
        <v>78.908174999999957</v>
      </c>
      <c r="F149" s="201">
        <f t="shared" si="11"/>
        <v>78.908174999999957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75</v>
      </c>
      <c r="C150" s="356">
        <f>+$C$78</f>
        <v>78.908174999999957</v>
      </c>
      <c r="D150" s="201">
        <f t="shared" si="11"/>
        <v>78.908174999999957</v>
      </c>
      <c r="E150" s="201">
        <f t="shared" si="11"/>
        <v>78.908174999999957</v>
      </c>
      <c r="F150" s="201">
        <f t="shared" si="11"/>
        <v>78.908174999999957</v>
      </c>
      <c r="G150" s="25" t="s">
        <v>41</v>
      </c>
      <c r="H150" s="28"/>
      <c r="I150" s="100"/>
      <c r="J150" s="203"/>
    </row>
    <row r="151" spans="1:10" hidden="1">
      <c r="A151" s="183"/>
      <c r="B151" s="1" t="s">
        <v>76</v>
      </c>
      <c r="C151" s="201">
        <f>+($G$22)*(C$43+C$38)+ IF(   $H$22&gt;0, $H$22,0   )*C$42/2</f>
        <v>225</v>
      </c>
      <c r="D151" s="201">
        <f>+($G$22)*(D$43+D$38)+ IF(   $H$22&gt;0, $H$22,0   )*D$42/2</f>
        <v>225</v>
      </c>
      <c r="E151" s="201">
        <f>+($G$22)*(E$43+E$38)+ IF(   $H$22&gt;0, $H$22,0   )*E$42/2</f>
        <v>225</v>
      </c>
      <c r="F151" s="201">
        <f>+($G$22)*(F$43+F$38)+ IF(   $H$22&gt;0, $H$22,0   )*F$42/2</f>
        <v>225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78</v>
      </c>
      <c r="C152" s="201">
        <f>+($F$22)*(C$43+C$38)+ IF(   $H$22&gt;0, $H$22,0   )*C$42/2</f>
        <v>112.5</v>
      </c>
      <c r="D152" s="201">
        <f>+($F$22)*(D$43+D$38)+ IF(   $H$22&gt;0, $H$22,0   )*D$42/2</f>
        <v>112.5</v>
      </c>
      <c r="E152" s="201">
        <f>+($F$22)*(E$43+E$38)+ IF(   $H$22&gt;0, $H$22,0   )*E$42/2</f>
        <v>112.5</v>
      </c>
      <c r="F152" s="201">
        <f>+($F$22)*(F$43+F$38)+ IF(   $H$22&gt;0, $H$22,0   )*F$42/2</f>
        <v>112.5</v>
      </c>
      <c r="G152" s="25" t="s">
        <v>77</v>
      </c>
      <c r="H152" s="28"/>
      <c r="I152" s="100"/>
      <c r="J152" s="203"/>
    </row>
    <row r="153" spans="1:10" hidden="1">
      <c r="A153" s="183"/>
      <c r="B153" s="1" t="s">
        <v>79</v>
      </c>
      <c r="C153" s="201">
        <f>+INDEX($C$80:$F$81,1,$H153)</f>
        <v>961.30077750000021</v>
      </c>
      <c r="D153" s="201">
        <f>+INDEX($C$80:$F$81,1,$H153)</f>
        <v>961.30077750000021</v>
      </c>
      <c r="E153" s="201">
        <f>+INDEX($C$80:$F$81,1,$H153)</f>
        <v>961.30077750000021</v>
      </c>
      <c r="F153" s="201">
        <f>+INDEX($C$80:$F$81,1,$H153)</f>
        <v>961.30077750000021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80</v>
      </c>
      <c r="C154" s="201">
        <f>+C153</f>
        <v>961.30077750000021</v>
      </c>
      <c r="D154" s="201">
        <f>+D153</f>
        <v>961.30077750000021</v>
      </c>
      <c r="E154" s="201">
        <f>+E153</f>
        <v>961.30077750000021</v>
      </c>
      <c r="F154" s="201">
        <f>+F153</f>
        <v>961.30077750000021</v>
      </c>
      <c r="G154" s="25" t="s">
        <v>77</v>
      </c>
      <c r="H154" s="28">
        <v>3</v>
      </c>
      <c r="I154" s="100"/>
      <c r="J154" s="203"/>
    </row>
    <row r="155" spans="1:10" hidden="1">
      <c r="A155" s="183"/>
      <c r="B155" s="1" t="s">
        <v>95</v>
      </c>
      <c r="C155" s="201">
        <f>+C158*C157</f>
        <v>60.917782500000058</v>
      </c>
      <c r="D155" s="201">
        <f>+D158*D157</f>
        <v>60.917782500000058</v>
      </c>
      <c r="E155" s="201">
        <f>+E158*E157</f>
        <v>60.917782500000058</v>
      </c>
      <c r="F155" s="201">
        <f>+F158*F157</f>
        <v>60.917782500000058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96</v>
      </c>
      <c r="C156" s="201">
        <f>+C159*C157</f>
        <v>173.41778250000002</v>
      </c>
      <c r="D156" s="201">
        <f>+D159*D157</f>
        <v>173.41778250000002</v>
      </c>
      <c r="E156" s="201">
        <f>+E159*E157</f>
        <v>173.41778250000002</v>
      </c>
      <c r="F156" s="201">
        <f>+F159*F157</f>
        <v>173.41778250000002</v>
      </c>
      <c r="G156" s="25" t="s">
        <v>77</v>
      </c>
      <c r="H156" s="28"/>
      <c r="I156" s="100"/>
      <c r="J156" s="203"/>
    </row>
    <row r="157" spans="1:10" hidden="1">
      <c r="A157" s="183"/>
      <c r="B157" s="1" t="s">
        <v>82</v>
      </c>
      <c r="C157" s="202">
        <f>+C$56+C$57+  IF(   $H$24&gt;0, -$H$24+C$55, -$H$24   )</f>
        <v>586.91520000000014</v>
      </c>
      <c r="D157" s="202">
        <f>+D$56+D$57+  IF(   $H$24&gt;0, -$H$24+D$55, -$H$24   )</f>
        <v>586.91520000000014</v>
      </c>
      <c r="E157" s="202">
        <f>+E$56+E$57+  IF(   $H$24&gt;0, -$H$24+E$55, -$H$24   )</f>
        <v>586.91520000000014</v>
      </c>
      <c r="F157" s="202">
        <f>+F$56+F$57+  IF(   $H$24&gt;0, -$H$24+F$55, -$H$24   )</f>
        <v>586.91520000000014</v>
      </c>
      <c r="G157" s="25" t="s">
        <v>41</v>
      </c>
      <c r="H157" s="28"/>
      <c r="I157" s="100"/>
      <c r="J157" s="203"/>
    </row>
    <row r="158" spans="1:10" hidden="1">
      <c r="A158" s="183"/>
      <c r="B158" s="1" t="s">
        <v>97</v>
      </c>
      <c r="C158" s="202">
        <f>+ABS(C$42/2-(C154-C152)/C157)</f>
        <v>0.10379315870503958</v>
      </c>
      <c r="D158" s="202">
        <f>+ABS(D$42/2-(D154-D152)/D157)</f>
        <v>0.10379315870503958</v>
      </c>
      <c r="E158" s="202">
        <f>+ABS(E$42/2-(E154-E152)/E157)</f>
        <v>0.10379315870503958</v>
      </c>
      <c r="F158" s="202">
        <f>+ABS(F$42/2-(F154-F152)/F157)</f>
        <v>0.10379315870503958</v>
      </c>
      <c r="G158" s="26" t="s">
        <v>50</v>
      </c>
      <c r="H158" s="28"/>
      <c r="I158" s="100"/>
      <c r="J158" s="203"/>
    </row>
    <row r="159" spans="1:10" hidden="1">
      <c r="A159" s="183"/>
      <c r="B159" s="1" t="s">
        <v>98</v>
      </c>
      <c r="C159" s="202">
        <f>+ABS(C$42/2-(C153-C151)/C157)</f>
        <v>0.29547331965503698</v>
      </c>
      <c r="D159" s="202">
        <f>+ABS(D$42/2-(D153-D151)/D157)</f>
        <v>0.29547331965503698</v>
      </c>
      <c r="E159" s="202">
        <f>+ABS(E$42/2-(E153-E151)/E157)</f>
        <v>0.29547331965503698</v>
      </c>
      <c r="F159" s="202">
        <f>+ABS(F$42/2-(F153-F151)/F157)</f>
        <v>0.29547331965503698</v>
      </c>
      <c r="G159" s="27" t="s">
        <v>50</v>
      </c>
      <c r="H159" s="28"/>
      <c r="I159" s="100"/>
      <c r="J159" s="203"/>
    </row>
    <row r="160" spans="1:10" hidden="1">
      <c r="A160" s="183"/>
      <c r="B160" s="1" t="s">
        <v>99</v>
      </c>
      <c r="C160" s="201">
        <f>+C$42/6</f>
        <v>0.51666666666666672</v>
      </c>
      <c r="D160" s="201">
        <f>+D$42/6</f>
        <v>0.51666666666666672</v>
      </c>
      <c r="E160" s="201">
        <f>+E$42/6</f>
        <v>0.51666666666666672</v>
      </c>
      <c r="F160" s="201">
        <f>+F$42/6</f>
        <v>0.51666666666666672</v>
      </c>
      <c r="G160" s="20" t="s">
        <v>50</v>
      </c>
      <c r="H160" s="28"/>
      <c r="I160" s="100"/>
      <c r="J160" s="203"/>
    </row>
    <row r="161" spans="1:14" hidden="1">
      <c r="A161" s="183"/>
      <c r="B161" s="1" t="s">
        <v>100</v>
      </c>
      <c r="C161" s="196"/>
      <c r="D161" s="196"/>
      <c r="E161" s="196"/>
      <c r="F161" s="196"/>
      <c r="G161" s="197"/>
      <c r="H161" s="28"/>
      <c r="I161" s="100"/>
      <c r="J161" s="203"/>
    </row>
    <row r="162" spans="1:14" hidden="1">
      <c r="A162" s="183"/>
      <c r="B162" s="198" t="s">
        <v>101</v>
      </c>
      <c r="C162" s="17">
        <f>+(C157/C$42^2)*(1+6*C158/C$42+6*C159/C$42)</f>
        <v>108.26929307508981</v>
      </c>
      <c r="D162" s="17">
        <f>+(D157/D$42^2)*(1+6*D158/D$42+6*D159/D$42)</f>
        <v>108.26929307508981</v>
      </c>
      <c r="E162" s="17">
        <f>+(E157/E$42^2)*(1+6*E158/E$42+6*E159/E$42)</f>
        <v>108.26929307508981</v>
      </c>
      <c r="F162" s="17">
        <f>+(F157/F$42^2)*(1+6*F158/F$42+6*F159/F$42)</f>
        <v>108.26929307508981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102</v>
      </c>
      <c r="C163" s="5">
        <f>+(C157/C$42^2)*(1+6*C158/C$42-6*C159/C$42)</f>
        <v>38.41553220771376</v>
      </c>
      <c r="D163" s="5">
        <f>+(D157/D$42^2)*(1+6*D158/D$42-6*D159/D$42)</f>
        <v>38.41553220771376</v>
      </c>
      <c r="E163" s="5">
        <f>+(E157/E$42^2)*(1+6*E158/E$42-6*E159/E$42)</f>
        <v>38.41553220771376</v>
      </c>
      <c r="F163" s="5">
        <f>+(F157/F$42^2)*(1+6*F158/F$42-6*F159/F$42)</f>
        <v>38.41553220771376</v>
      </c>
      <c r="G163" s="18" t="s">
        <v>13</v>
      </c>
      <c r="H163" s="28"/>
      <c r="I163" s="100"/>
      <c r="J163" s="203"/>
    </row>
    <row r="164" spans="1:14" hidden="1">
      <c r="A164" s="183"/>
      <c r="B164" s="199" t="s">
        <v>103</v>
      </c>
      <c r="C164" s="5">
        <f>+(C157/C$42^2)*(1-6*C158/C$42+6*C159/C$42)</f>
        <v>83.731231580007375</v>
      </c>
      <c r="D164" s="5">
        <f>+(D157/D$42^2)*(1-6*D158/D$42+6*D159/D$42)</f>
        <v>83.731231580007375</v>
      </c>
      <c r="E164" s="5">
        <f>+(E157/E$42^2)*(1-6*E158/E$42+6*E159/E$42)</f>
        <v>83.731231580007375</v>
      </c>
      <c r="F164" s="5">
        <f>+(F157/F$42^2)*(1-6*F158/F$42+6*F159/F$42)</f>
        <v>83.731231580007375</v>
      </c>
      <c r="G164" s="18" t="s">
        <v>13</v>
      </c>
      <c r="H164" s="28"/>
      <c r="I164" s="100"/>
      <c r="J164" s="203"/>
    </row>
    <row r="165" spans="1:14" hidden="1">
      <c r="A165" s="183"/>
      <c r="B165" s="198" t="s">
        <v>104</v>
      </c>
      <c r="C165" s="5">
        <f>+(C157/C$42^2)*(1-6*C158/C$42-6*C159/C$42)</f>
        <v>13.877470712631332</v>
      </c>
      <c r="D165" s="5">
        <f>+(D157/D$42^2)*(1-6*D158/D$42-6*D159/D$42)</f>
        <v>13.877470712631332</v>
      </c>
      <c r="E165" s="5">
        <f>+(E157/E$42^2)*(1-6*E158/E$42-6*E159/E$42)</f>
        <v>13.877470712631332</v>
      </c>
      <c r="F165" s="5">
        <f>+(F157/F$42^2)*(1-6*F158/F$42-6*F159/F$42)</f>
        <v>13.877470712631332</v>
      </c>
      <c r="G165" s="18" t="s">
        <v>13</v>
      </c>
      <c r="H165" s="28"/>
      <c r="I165" s="100" t="s">
        <v>304</v>
      </c>
      <c r="J165" s="203">
        <f>+MAX(C162:F165)</f>
        <v>108.26929307508981</v>
      </c>
      <c r="K165" t="s">
        <v>308</v>
      </c>
      <c r="L165" s="4">
        <f>+C166</f>
        <v>100</v>
      </c>
    </row>
    <row r="166" spans="1:14" ht="15.75" hidden="1">
      <c r="A166" s="183"/>
      <c r="B166" s="176" t="s">
        <v>105</v>
      </c>
      <c r="C166" s="17">
        <f>+$C$6</f>
        <v>100</v>
      </c>
      <c r="D166" s="17">
        <f>+$C$6</f>
        <v>100</v>
      </c>
      <c r="E166" s="17">
        <f>+$C$6</f>
        <v>100</v>
      </c>
      <c r="F166" s="17">
        <f>+$C$6</f>
        <v>100</v>
      </c>
      <c r="G166" s="18" t="s">
        <v>13</v>
      </c>
      <c r="H166" s="28"/>
      <c r="I166" s="100"/>
      <c r="J166" s="203"/>
    </row>
    <row r="167" spans="1:14" hidden="1">
      <c r="A167" s="183"/>
      <c r="B167" s="1" t="s">
        <v>71</v>
      </c>
      <c r="C167" s="175" t="str">
        <f>+IF(C162&lt;C166,"OK","NO CUMPLE")</f>
        <v>NO CUMPLE</v>
      </c>
      <c r="D167" s="175" t="str">
        <f>+IF(D162&lt;D166,"OK","NO CUMPLE")</f>
        <v>NO CUMPLE</v>
      </c>
      <c r="E167" s="175" t="str">
        <f>+IF(E162&lt;E166,"OK","NO CUMPLE")</f>
        <v>NO CUMPLE</v>
      </c>
      <c r="F167" s="175" t="str">
        <f>+IF(F162&lt;F166,"OK","NO CUMPLE")</f>
        <v>NO CUMPLE</v>
      </c>
      <c r="H167" s="28"/>
      <c r="I167" s="100"/>
      <c r="J167" s="203"/>
    </row>
    <row r="168" spans="1:14">
      <c r="A168" s="365"/>
      <c r="B168" s="362" t="s">
        <v>92</v>
      </c>
      <c r="C168" s="233">
        <v>1</v>
      </c>
      <c r="D168" s="233">
        <v>2</v>
      </c>
      <c r="E168" s="233">
        <v>3</v>
      </c>
      <c r="F168" s="233">
        <v>4</v>
      </c>
      <c r="G168" s="192"/>
      <c r="H168" s="28"/>
      <c r="I168" s="100"/>
      <c r="J168" s="203"/>
      <c r="N168" s="4">
        <v>1</v>
      </c>
    </row>
    <row r="169" spans="1:14">
      <c r="A169" s="365"/>
      <c r="B169" s="1" t="s">
        <v>93</v>
      </c>
      <c r="C169" s="356">
        <f>+$C$43</f>
        <v>3.5</v>
      </c>
      <c r="D169" s="201">
        <f t="shared" ref="D169:F170" si="12">+$C$43</f>
        <v>3.5</v>
      </c>
      <c r="E169" s="201">
        <f t="shared" si="12"/>
        <v>3.5</v>
      </c>
      <c r="F169" s="201">
        <f t="shared" si="12"/>
        <v>3.5</v>
      </c>
      <c r="G169" s="20" t="s">
        <v>50</v>
      </c>
      <c r="H169" s="28"/>
      <c r="I169" s="100"/>
      <c r="J169" s="203"/>
      <c r="N169" s="4">
        <v>1.3560378563788489</v>
      </c>
    </row>
    <row r="170" spans="1:14">
      <c r="A170" s="365"/>
      <c r="B170" s="1" t="s">
        <v>94</v>
      </c>
      <c r="C170" s="356">
        <f>+$C$43</f>
        <v>3.5</v>
      </c>
      <c r="D170" s="201">
        <f t="shared" si="12"/>
        <v>3.5</v>
      </c>
      <c r="E170" s="201">
        <f t="shared" si="12"/>
        <v>3.5</v>
      </c>
      <c r="F170" s="201">
        <f t="shared" si="12"/>
        <v>3.5</v>
      </c>
      <c r="G170" s="20" t="s">
        <v>50</v>
      </c>
      <c r="H170" s="28"/>
      <c r="I170" s="100"/>
      <c r="J170" s="203"/>
      <c r="N170" s="4">
        <v>0.83093030413797331</v>
      </c>
    </row>
    <row r="171" spans="1:14">
      <c r="A171" s="365"/>
      <c r="B171" s="1" t="s">
        <v>74</v>
      </c>
      <c r="C171" s="356">
        <f>+$C$78</f>
        <v>78.908174999999957</v>
      </c>
      <c r="D171" s="201">
        <f t="shared" ref="D171:F172" si="13">+$C$78</f>
        <v>78.908174999999957</v>
      </c>
      <c r="E171" s="201">
        <f t="shared" si="13"/>
        <v>78.908174999999957</v>
      </c>
      <c r="F171" s="201">
        <f t="shared" si="13"/>
        <v>78.908174999999957</v>
      </c>
      <c r="G171" s="25" t="s">
        <v>41</v>
      </c>
      <c r="H171" s="28"/>
      <c r="I171" s="100"/>
      <c r="J171" s="203"/>
      <c r="N171" s="4">
        <v>18.27</v>
      </c>
    </row>
    <row r="172" spans="1:14">
      <c r="A172" s="365"/>
      <c r="B172" s="1" t="s">
        <v>75</v>
      </c>
      <c r="C172" s="356">
        <f>+$C$78</f>
        <v>78.908174999999957</v>
      </c>
      <c r="D172" s="201">
        <f t="shared" si="13"/>
        <v>78.908174999999957</v>
      </c>
      <c r="E172" s="201">
        <f t="shared" si="13"/>
        <v>78.908174999999957</v>
      </c>
      <c r="F172" s="201">
        <f t="shared" si="13"/>
        <v>78.908174999999957</v>
      </c>
      <c r="G172" s="25" t="s">
        <v>41</v>
      </c>
      <c r="H172" s="28"/>
      <c r="I172" s="100"/>
      <c r="J172" s="203"/>
      <c r="N172" s="4">
        <v>6.8599999999999985</v>
      </c>
    </row>
    <row r="173" spans="1:14">
      <c r="A173" s="365" t="s">
        <v>463</v>
      </c>
      <c r="B173" s="1" t="s">
        <v>434</v>
      </c>
      <c r="C173" s="356">
        <f>+C69</f>
        <v>225</v>
      </c>
      <c r="D173" s="201">
        <f>+D69</f>
        <v>1020</v>
      </c>
      <c r="E173" s="201">
        <f>+E69</f>
        <v>180</v>
      </c>
      <c r="F173" s="201">
        <f>+F69</f>
        <v>547.5</v>
      </c>
      <c r="G173" s="25" t="s">
        <v>77</v>
      </c>
      <c r="H173" s="28"/>
      <c r="I173" s="100"/>
      <c r="J173" s="203"/>
      <c r="N173" s="4">
        <v>63.945</v>
      </c>
    </row>
    <row r="174" spans="1:14">
      <c r="A174" s="365" t="s">
        <v>463</v>
      </c>
      <c r="B174" s="1" t="s">
        <v>433</v>
      </c>
      <c r="C174" s="356">
        <f>+C68</f>
        <v>112.5</v>
      </c>
      <c r="D174" s="201">
        <f>+D68</f>
        <v>1065</v>
      </c>
      <c r="E174" s="201">
        <f>+E68</f>
        <v>270</v>
      </c>
      <c r="F174" s="201">
        <f>+F68</f>
        <v>322.5</v>
      </c>
      <c r="G174" s="25" t="s">
        <v>77</v>
      </c>
      <c r="H174" s="28"/>
      <c r="I174" s="100"/>
      <c r="J174" s="203"/>
      <c r="N174" s="4">
        <v>24.01</v>
      </c>
    </row>
    <row r="175" spans="1:14">
      <c r="A175" s="365" t="s">
        <v>462</v>
      </c>
      <c r="B175" s="1" t="s">
        <v>79</v>
      </c>
      <c r="C175" s="356">
        <f>+INDEX($C$80:$F$81,1,1)</f>
        <v>2092.8007775000001</v>
      </c>
      <c r="D175" s="201">
        <f>+INDEX($C$80:$F$81,1,2)</f>
        <v>1845.5909905605558</v>
      </c>
      <c r="E175" s="201">
        <f>+INDEX($C$80:$F$81,1,3)</f>
        <v>961.30077750000021</v>
      </c>
      <c r="F175" s="201">
        <f>+INDEX($C$80:$F$81,1,4)</f>
        <v>1845.5909905605558</v>
      </c>
      <c r="G175" s="25" t="s">
        <v>77</v>
      </c>
      <c r="H175" s="28">
        <v>4</v>
      </c>
      <c r="I175" s="100"/>
      <c r="J175" s="203"/>
      <c r="N175" s="4">
        <v>263.66545890930564</v>
      </c>
    </row>
    <row r="176" spans="1:14">
      <c r="A176" s="365" t="s">
        <v>462</v>
      </c>
      <c r="B176" s="1" t="s">
        <v>80</v>
      </c>
      <c r="C176" s="356">
        <f>+C175</f>
        <v>2092.8007775000001</v>
      </c>
      <c r="D176" s="201">
        <f>+D175</f>
        <v>1845.5909905605558</v>
      </c>
      <c r="E176" s="201">
        <f>+E175</f>
        <v>961.30077750000021</v>
      </c>
      <c r="F176" s="201">
        <f>+F175</f>
        <v>1845.5909905605558</v>
      </c>
      <c r="G176" s="25" t="s">
        <v>77</v>
      </c>
      <c r="H176" s="28">
        <v>4</v>
      </c>
      <c r="I176" s="100"/>
      <c r="J176" s="203"/>
      <c r="N176" s="4">
        <v>253.56187874240899</v>
      </c>
    </row>
    <row r="177" spans="1:14">
      <c r="A177" s="365"/>
      <c r="B177" s="1" t="s">
        <v>95</v>
      </c>
      <c r="C177" s="201">
        <f>+C180*C179</f>
        <v>60.917782499999916</v>
      </c>
      <c r="D177" s="201">
        <f>+D180*D179</f>
        <v>83.417782499999433</v>
      </c>
      <c r="E177" s="201">
        <f>+E180*E179</f>
        <v>218.41778249999982</v>
      </c>
      <c r="F177" s="201">
        <f>+F180*F179</f>
        <v>38.417782499999518</v>
      </c>
      <c r="G177" s="25" t="s">
        <v>77</v>
      </c>
      <c r="H177" s="28"/>
      <c r="I177" s="100"/>
      <c r="J177" s="203"/>
      <c r="N177" s="4">
        <v>14.09012125759099</v>
      </c>
    </row>
    <row r="178" spans="1:14">
      <c r="A178" s="365"/>
      <c r="B178" s="1" t="s">
        <v>96</v>
      </c>
      <c r="C178" s="201">
        <f>+C181*C179</f>
        <v>173.4177824999999</v>
      </c>
      <c r="D178" s="201">
        <f>+D181*D179</f>
        <v>38.417782499999397</v>
      </c>
      <c r="E178" s="201">
        <f>+E181*E179</f>
        <v>128.41778249999987</v>
      </c>
      <c r="F178" s="201">
        <f>+F181*F179</f>
        <v>263.41778249999942</v>
      </c>
      <c r="G178" s="25" t="s">
        <v>77</v>
      </c>
      <c r="H178" s="28"/>
      <c r="I178" s="100"/>
      <c r="J178" s="203"/>
      <c r="N178" s="4">
        <v>43.921541090694348</v>
      </c>
    </row>
    <row r="179" spans="1:14">
      <c r="A179" s="366" t="s">
        <v>464</v>
      </c>
      <c r="B179" s="1" t="s">
        <v>82</v>
      </c>
      <c r="C179" s="356">
        <f>C72</f>
        <v>1316.9151999999999</v>
      </c>
      <c r="D179" s="202">
        <f>D72</f>
        <v>557.42501487777758</v>
      </c>
      <c r="E179" s="202">
        <f>E72</f>
        <v>586.91520000000003</v>
      </c>
      <c r="F179" s="202">
        <f>F72</f>
        <v>1007.4250148777776</v>
      </c>
      <c r="G179" s="25" t="s">
        <v>41</v>
      </c>
      <c r="H179" s="28"/>
      <c r="I179" s="100"/>
      <c r="J179" s="203"/>
      <c r="N179" s="4">
        <v>243.642</v>
      </c>
    </row>
    <row r="180" spans="1:14">
      <c r="A180" s="365"/>
      <c r="B180" s="1" t="s">
        <v>97</v>
      </c>
      <c r="C180" s="356">
        <f>+ABS(C$42/2-(C176-C174)/C179)</f>
        <v>4.62579386280908E-2</v>
      </c>
      <c r="D180" s="356">
        <f>+ABS(D$42/2 - (D176-D174)/D179)</f>
        <v>0.14964843750022561</v>
      </c>
      <c r="E180" s="356">
        <f>+ABS(E$42/2-(E176-E174)/E179)</f>
        <v>0.37214538403503572</v>
      </c>
      <c r="F180" s="356">
        <f>+ABS(F$42/2-(F176-F174)/F179)</f>
        <v>3.8134632287903258E-2</v>
      </c>
      <c r="G180" s="26" t="s">
        <v>50</v>
      </c>
      <c r="H180" s="28"/>
      <c r="I180" s="100"/>
      <c r="J180" s="203"/>
      <c r="N180" s="4">
        <v>5.7831249364194148E-2</v>
      </c>
    </row>
    <row r="181" spans="1:14">
      <c r="A181" s="365"/>
      <c r="B181" s="1" t="s">
        <v>98</v>
      </c>
      <c r="C181" s="356">
        <f>+ABS(C$42/2-(C175-C173)/C179)</f>
        <v>0.13168485146196196</v>
      </c>
      <c r="D181" s="356">
        <f>+ABS(D$42/2-(D175-D173)/D179)</f>
        <v>6.892009054961945E-2</v>
      </c>
      <c r="E181" s="356">
        <f>+ABS(E$42/2-(E175-E173)/E179)</f>
        <v>0.2188012552750378</v>
      </c>
      <c r="F181" s="356">
        <f>+ABS(F$42/2-(F175-F173)/F179)</f>
        <v>0.2614763169564116</v>
      </c>
      <c r="G181" s="27" t="s">
        <v>50</v>
      </c>
      <c r="H181" s="28"/>
      <c r="I181" s="100"/>
      <c r="J181" s="203"/>
      <c r="N181" s="4">
        <v>0.18027081164452086</v>
      </c>
    </row>
    <row r="182" spans="1:14">
      <c r="A182" s="365"/>
      <c r="B182" s="1" t="s">
        <v>99</v>
      </c>
      <c r="C182" s="201">
        <f>+C$42/6</f>
        <v>0.51666666666666672</v>
      </c>
      <c r="D182" s="201">
        <f>+D$42/6</f>
        <v>0.51666666666666672</v>
      </c>
      <c r="E182" s="201">
        <f>+E$42/6</f>
        <v>0.51666666666666672</v>
      </c>
      <c r="F182" s="201">
        <f>+F$42/6</f>
        <v>0.51666666666666672</v>
      </c>
      <c r="G182" s="20" t="s">
        <v>50</v>
      </c>
      <c r="H182" s="28"/>
      <c r="I182" s="100"/>
      <c r="J182" s="203"/>
      <c r="N182" s="4">
        <v>0.33333333333333331</v>
      </c>
    </row>
    <row r="183" spans="1:14">
      <c r="A183" s="365"/>
      <c r="B183" s="1" t="s">
        <v>100</v>
      </c>
      <c r="C183" s="196"/>
      <c r="D183" s="196"/>
      <c r="E183" s="196"/>
      <c r="F183" s="196"/>
      <c r="H183" s="28"/>
      <c r="I183" s="100"/>
      <c r="J183" s="203"/>
      <c r="N183" s="4"/>
    </row>
    <row r="184" spans="1:14">
      <c r="A184" s="367" t="s">
        <v>474</v>
      </c>
      <c r="B184" s="198" t="s">
        <v>101</v>
      </c>
      <c r="C184" s="17">
        <f>+(C179/C$42^2)*(1+6*C180/C$42+6*C181/C$42)</f>
        <v>184.23183209694196</v>
      </c>
      <c r="D184" s="17">
        <f>+(D179/D$42^2)*(1+6*D180/D$42+6*D181/D$42)</f>
        <v>82.542745665506459</v>
      </c>
      <c r="E184" s="17">
        <f>+(E179/E$42^2)*(1+6*E180/E$42+6*E181/E$42)</f>
        <v>130.92714276123652</v>
      </c>
      <c r="F184" s="17">
        <f>+(F179/F$42^2)*(1+6*F180/F$42+6*F181/F$42)</f>
        <v>165.62152784804482</v>
      </c>
      <c r="G184" s="18" t="s">
        <v>13</v>
      </c>
      <c r="H184" s="28"/>
      <c r="I184" s="100"/>
      <c r="J184" s="203"/>
      <c r="N184" s="4">
        <v>104.419246761214</v>
      </c>
    </row>
    <row r="185" spans="1:14">
      <c r="A185" s="367" t="s">
        <v>474</v>
      </c>
      <c r="B185" s="199" t="s">
        <v>102</v>
      </c>
      <c r="C185" s="5">
        <f>+(C179/C$42^2)*(1+6*C180/C$42-6*C181/C$42)</f>
        <v>114.37807122956596</v>
      </c>
      <c r="D185" s="5">
        <f>+(D179/D$42^2)*(1+6*D180/D$42-6*D181/D$42)</f>
        <v>67.067824044883039</v>
      </c>
      <c r="E185" s="5">
        <f>+(E179/E$42^2)*(1+6*E180/E$42-6*E181/E$42)</f>
        <v>79.199661642777997</v>
      </c>
      <c r="F185" s="5">
        <f>+(F179/F$42^2)*(1+6*F180/F$42-6*F181/F$42)</f>
        <v>59.515207482834086</v>
      </c>
      <c r="G185" s="18" t="s">
        <v>13</v>
      </c>
      <c r="H185" s="28"/>
      <c r="I185" s="100"/>
      <c r="J185" s="203"/>
      <c r="N185" s="4">
        <v>38.536935125172477</v>
      </c>
    </row>
    <row r="186" spans="1:14">
      <c r="A186" s="367" t="s">
        <v>474</v>
      </c>
      <c r="B186" s="199" t="s">
        <v>103</v>
      </c>
      <c r="C186" s="5">
        <f>+(C179/C$42^2)*(1-6*C180/C$42+6*C181/C$42)</f>
        <v>159.6937706018596</v>
      </c>
      <c r="D186" s="5">
        <f>+(D179/D$42^2)*(1-6*D180/D$42+6*D181/D$42)</f>
        <v>48.941544295965564</v>
      </c>
      <c r="E186" s="5">
        <f>+(E179/E$42^2)*(1-6*E180/E$42+6*E181/E$42)</f>
        <v>42.947102144943109</v>
      </c>
      <c r="F186" s="5">
        <f>+(F179/F$42^2)*(1-6*F180/F$42+6*F181/F$42)</f>
        <v>150.14660622742136</v>
      </c>
      <c r="G186" s="18" t="s">
        <v>13</v>
      </c>
      <c r="H186" s="28"/>
      <c r="I186" s="100"/>
      <c r="J186" s="203"/>
      <c r="N186" s="4">
        <v>83.284064874827521</v>
      </c>
    </row>
    <row r="187" spans="1:14">
      <c r="A187" s="367" t="s">
        <v>474</v>
      </c>
      <c r="B187" s="198" t="s">
        <v>104</v>
      </c>
      <c r="C187" s="5">
        <f>+(C179/C$42^2)*(1-6*C180/C$42-6*C181/C$42)</f>
        <v>89.840009734483601</v>
      </c>
      <c r="D187" s="5">
        <f>+(D179/D$42^2)*(1-6*D180/D$42-6*D181/D$42)</f>
        <v>33.46662267534213</v>
      </c>
      <c r="E187" s="5">
        <f>+(E179/E$42^2)*(1-6*E180/E$42-6*E181/E$42)</f>
        <v>-8.7803789735154218</v>
      </c>
      <c r="F187" s="5">
        <f>+(F179/F$42^2)*(1-6*F180/F$42-6*F181/F$42)</f>
        <v>44.040285862210609</v>
      </c>
      <c r="G187" s="18" t="s">
        <v>13</v>
      </c>
      <c r="H187" s="28"/>
      <c r="I187" s="100" t="s">
        <v>304</v>
      </c>
      <c r="J187" s="203">
        <f>+MAX(C184:F187)</f>
        <v>184.23183209694196</v>
      </c>
      <c r="K187" t="s">
        <v>308</v>
      </c>
      <c r="L187" s="4">
        <f>+C188</f>
        <v>100</v>
      </c>
      <c r="N187" s="4">
        <v>17.401753238785993</v>
      </c>
    </row>
    <row r="188" spans="1:14">
      <c r="A188" s="365"/>
      <c r="B188" s="362" t="s">
        <v>105</v>
      </c>
      <c r="C188" s="17">
        <f>+$C$6</f>
        <v>100</v>
      </c>
      <c r="D188" s="17">
        <f>+$C$6</f>
        <v>100</v>
      </c>
      <c r="E188" s="17">
        <f>+$C$6</f>
        <v>100</v>
      </c>
      <c r="F188" s="17">
        <f>+$C$6</f>
        <v>100</v>
      </c>
      <c r="G188" s="18" t="s">
        <v>13</v>
      </c>
      <c r="H188" s="28"/>
      <c r="I188" s="100"/>
      <c r="J188" s="203"/>
      <c r="N188" s="4">
        <v>202</v>
      </c>
    </row>
    <row r="189" spans="1:14">
      <c r="A189" s="365" t="s">
        <v>472</v>
      </c>
      <c r="B189" s="1" t="s">
        <v>71</v>
      </c>
      <c r="C189" s="175" t="str">
        <f>+IF(C184&lt;C188,"OK","NO CUMPLE")</f>
        <v>NO CUMPLE</v>
      </c>
      <c r="D189" s="175" t="str">
        <f>+IF(D184&lt;D188,"OK","NO CUMPLE")</f>
        <v>OK</v>
      </c>
      <c r="E189" s="175" t="str">
        <f>+IF(E184&lt;E188,"OK","NO CUMPLE")</f>
        <v>NO CUMPLE</v>
      </c>
      <c r="F189" s="175" t="str">
        <f>+IF(F184&lt;F188,"OK","NO CUMPLE")</f>
        <v>NO CUMPLE</v>
      </c>
      <c r="H189" s="28"/>
      <c r="I189" s="100"/>
      <c r="J189" s="203"/>
      <c r="N189" s="4" t="s">
        <v>330</v>
      </c>
    </row>
    <row r="190" spans="1:14">
      <c r="A190" s="365"/>
      <c r="B190" s="100" t="s">
        <v>449</v>
      </c>
      <c r="C190">
        <f>+((C179 -C192)/C$42^2)*(1+6*C180/C$42+6*C181/C$42)</f>
        <v>118.47219350364232</v>
      </c>
      <c r="D190">
        <f>+((D179 -D192)/D$42^2)*(1+6*D180/D$42+6*D181/D$42)</f>
        <v>12.937012234546563</v>
      </c>
      <c r="E190">
        <f>+((E179 -E192)/E$42^2)*(1+6*E180/E$42+6*E181/E$42)</f>
        <v>26.067858175264579</v>
      </c>
      <c r="F190">
        <f>+((F179 -F192)/F$42^2)*(1+6*F180/F$42+6*F181/F$42)</f>
        <v>88.343396241917489</v>
      </c>
      <c r="H190" s="28"/>
      <c r="I190" s="100"/>
      <c r="J190" s="203"/>
      <c r="N190" s="4"/>
    </row>
    <row r="191" spans="1:14">
      <c r="A191" s="365" t="s">
        <v>471</v>
      </c>
      <c r="B191" s="100" t="s">
        <v>448</v>
      </c>
      <c r="C191" s="356">
        <f>+C188/C190</f>
        <v>0.84407992325157377</v>
      </c>
      <c r="D191" s="356">
        <f>+D188/D190</f>
        <v>7.7297600239538582</v>
      </c>
      <c r="E191" s="356">
        <f>+E188/E190</f>
        <v>3.8361417853227611</v>
      </c>
      <c r="F191" s="356">
        <f>+F188/F190</f>
        <v>1.1319465206676269</v>
      </c>
      <c r="H191" s="28"/>
      <c r="I191" s="100"/>
      <c r="J191" s="203"/>
      <c r="N191" s="4"/>
    </row>
    <row r="192" spans="1:14">
      <c r="A192" s="365"/>
      <c r="B192" s="100" t="s">
        <v>447</v>
      </c>
      <c r="C192">
        <f>+C56</f>
        <v>470.05920000000009</v>
      </c>
      <c r="D192">
        <f>+D56</f>
        <v>470.05920000000009</v>
      </c>
      <c r="E192">
        <f>+E56</f>
        <v>470.05920000000009</v>
      </c>
      <c r="F192">
        <f>+F56</f>
        <v>470.05920000000009</v>
      </c>
      <c r="H192" s="28"/>
      <c r="I192" s="100"/>
      <c r="J192" s="203"/>
      <c r="N192" s="4"/>
    </row>
    <row r="193" spans="1:12" ht="15.75" thickBot="1">
      <c r="A193" s="365"/>
      <c r="H193" s="28"/>
      <c r="I193" s="100"/>
      <c r="J193" s="203"/>
      <c r="K193" s="4"/>
      <c r="L193" s="4"/>
    </row>
    <row r="194" spans="1:12" ht="15.75" thickBot="1">
      <c r="A194" s="200">
        <v>5</v>
      </c>
      <c r="B194" s="200" t="s">
        <v>106</v>
      </c>
      <c r="C194" s="270"/>
      <c r="D194" s="270">
        <f>+INDEX($F$30:$H$33,D$195,       3)</f>
        <v>900</v>
      </c>
      <c r="E194" s="270"/>
      <c r="F194" s="270"/>
      <c r="G194" s="270"/>
      <c r="H194" s="234"/>
      <c r="I194" s="100" t="s">
        <v>331</v>
      </c>
      <c r="J194" s="203">
        <f>+MAX(J121,J143,J165,J187)</f>
        <v>385.41855446682268</v>
      </c>
      <c r="K194" s="4"/>
      <c r="L194" s="4"/>
    </row>
    <row r="195" spans="1:12">
      <c r="A195" s="365"/>
      <c r="B195" s="233" t="s">
        <v>92</v>
      </c>
      <c r="C195" s="233">
        <v>1</v>
      </c>
      <c r="D195" s="233">
        <v>2</v>
      </c>
      <c r="E195" s="233">
        <v>3</v>
      </c>
      <c r="F195" s="233">
        <v>4</v>
      </c>
      <c r="H195" s="28"/>
      <c r="I195" s="100" t="s">
        <v>332</v>
      </c>
      <c r="J195" s="235">
        <f>IF(J121=J194,1,
    IF(J143=J194, 2,
       IF(J165=J194,3,
           4)))</f>
        <v>2</v>
      </c>
      <c r="K195" s="4"/>
      <c r="L195" s="4"/>
    </row>
    <row r="196" spans="1:12">
      <c r="A196" s="365"/>
      <c r="B196" s="1" t="s">
        <v>93</v>
      </c>
      <c r="C196" s="356">
        <f>+$C$43</f>
        <v>3.5</v>
      </c>
      <c r="D196" s="201">
        <f t="shared" ref="D196:F197" si="14">+$C$43</f>
        <v>3.5</v>
      </c>
      <c r="E196" s="201">
        <f t="shared" si="14"/>
        <v>3.5</v>
      </c>
      <c r="F196" s="201">
        <f t="shared" si="14"/>
        <v>3.5</v>
      </c>
      <c r="G196" s="20" t="s">
        <v>50</v>
      </c>
      <c r="H196" s="28"/>
      <c r="I196" s="100"/>
      <c r="J196" s="203"/>
      <c r="K196" s="4"/>
      <c r="L196" s="4"/>
    </row>
    <row r="197" spans="1:12">
      <c r="A197" s="365"/>
      <c r="B197" s="1" t="s">
        <v>94</v>
      </c>
      <c r="C197" s="356">
        <f>+$C$43</f>
        <v>3.5</v>
      </c>
      <c r="D197" s="201">
        <f t="shared" si="14"/>
        <v>3.5</v>
      </c>
      <c r="E197" s="201">
        <f t="shared" si="14"/>
        <v>3.5</v>
      </c>
      <c r="F197" s="201">
        <f t="shared" si="14"/>
        <v>3.5</v>
      </c>
      <c r="G197" s="20" t="s">
        <v>50</v>
      </c>
      <c r="H197" s="28"/>
      <c r="I197" s="100"/>
      <c r="J197" s="203"/>
      <c r="K197" s="4"/>
      <c r="L197" s="4"/>
    </row>
    <row r="198" spans="1:12">
      <c r="A198" s="365"/>
      <c r="B198" s="1" t="s">
        <v>75</v>
      </c>
      <c r="C198" s="356">
        <f>+C172</f>
        <v>78.908174999999957</v>
      </c>
      <c r="D198" s="201">
        <f t="shared" ref="D198:F199" si="15">+C198</f>
        <v>78.908174999999957</v>
      </c>
      <c r="E198" s="201">
        <f t="shared" si="15"/>
        <v>78.908174999999957</v>
      </c>
      <c r="F198" s="201">
        <f t="shared" si="15"/>
        <v>78.908174999999957</v>
      </c>
      <c r="G198" s="25" t="s">
        <v>41</v>
      </c>
      <c r="H198" s="28"/>
      <c r="I198" s="100"/>
      <c r="J198" s="203"/>
      <c r="K198" s="4"/>
      <c r="L198" s="4"/>
    </row>
    <row r="199" spans="1:12">
      <c r="A199" s="365"/>
      <c r="B199" s="1" t="s">
        <v>74</v>
      </c>
      <c r="C199" s="356">
        <f>+C171</f>
        <v>78.908174999999957</v>
      </c>
      <c r="D199" s="201">
        <f t="shared" si="15"/>
        <v>78.908174999999957</v>
      </c>
      <c r="E199" s="201">
        <f t="shared" si="15"/>
        <v>78.908174999999957</v>
      </c>
      <c r="F199" s="201">
        <f t="shared" si="15"/>
        <v>78.908174999999957</v>
      </c>
      <c r="G199" s="25" t="s">
        <v>41</v>
      </c>
      <c r="H199" s="28"/>
      <c r="I199" s="100"/>
      <c r="J199" s="203"/>
      <c r="K199" s="4"/>
      <c r="L199" s="4"/>
    </row>
    <row r="200" spans="1:12">
      <c r="A200" s="365"/>
      <c r="B200" s="1" t="s">
        <v>433</v>
      </c>
      <c r="C200" s="356">
        <f>+(INDEX($F$30:$H$33,C$195,       1))*(C$43+C$38)+ IF(   INDEX($F$30:$H$33,C$195,       3)&gt;0, INDEX($F$30:$H$33,C$195,       3),0   )*C$42/2</f>
        <v>168.75</v>
      </c>
      <c r="D200" s="356">
        <f>+(INDEX($F$30:$H$33,D$195,       1))*(D$43+D$38)+ IF(   INDEX($F$30:$H$33,D$195,       3)&gt;0, INDEX($F$30:$H$33,D$195,       3),0   )*D$42/2</f>
        <v>1597.5</v>
      </c>
      <c r="E200" s="356">
        <f>+(INDEX($F$30:$H$33,E$195,       1))*(E$43+E$38)+ IF(   INDEX($F$30:$H$33,E$195,       3)&gt;0, INDEX($F$30:$H$33,E$195,       3),0   )*E$42/2</f>
        <v>405</v>
      </c>
      <c r="F200" s="356">
        <f>+(INDEX($F$30:$H$33,F$195,       1))*(F$43+F$38)+ IF(   INDEX($F$30:$H$33,F$195,       3)&gt;0, INDEX($F$30:$H$33,F$195,       3),0   )*F$42/2</f>
        <v>483.75</v>
      </c>
      <c r="G200" s="25" t="s">
        <v>77</v>
      </c>
      <c r="H200" s="28"/>
      <c r="I200" s="100"/>
      <c r="J200" s="203"/>
      <c r="K200" s="4"/>
      <c r="L200" s="4"/>
    </row>
    <row r="201" spans="1:12">
      <c r="A201" s="365"/>
      <c r="B201" s="1" t="s">
        <v>434</v>
      </c>
      <c r="C201" s="356">
        <f>+(INDEX($F$30:$H$33,C$195,       2))*(C$43+C$38)+ IF(   INDEX($F$30:$H$33,C$195,       3)&gt;0, INDEX($F$30:$H$33,C$195,       3),0   )*C$42/2</f>
        <v>337.5</v>
      </c>
      <c r="D201" s="356">
        <f>+(INDEX($F$30:$H$33,D$195,       2))*(D$43+D$38)+ IF(   INDEX($F$30:$H$33,D$195,       3)&gt;0, INDEX($F$30:$H$33,D$195,       3),0   )*D$42/2</f>
        <v>1530</v>
      </c>
      <c r="E201" s="356">
        <f>+(INDEX($F$30:$H$33,E$195,       2))*(E$43+E$38)+ IF(   INDEX($F$30:$H$33,E$195,       3)&gt;0, INDEX($F$30:$H$33,E$195,       3),0   )*E$42/2</f>
        <v>270</v>
      </c>
      <c r="F201" s="356">
        <f>+(INDEX($F$30:$H$33,F$195,       2))*(F$43+F$38)+ IF(   INDEX($F$30:$H$33,F$195,       3)&gt;0, INDEX($F$30:$H$33,F$195,       3),0   )*F$42/2</f>
        <v>821.25</v>
      </c>
      <c r="G201" s="25" t="s">
        <v>77</v>
      </c>
      <c r="H201" s="28"/>
      <c r="I201" s="100"/>
      <c r="J201" s="203"/>
      <c r="K201" s="4"/>
      <c r="L201" s="4"/>
    </row>
    <row r="202" spans="1:12">
      <c r="A202" s="365"/>
      <c r="B202" s="1" t="s">
        <v>80</v>
      </c>
      <c r="C202" s="356">
        <f>+(C$56+C$57+   IF((   INDEX($F$30:$H$33,C$195,       3))&gt;0, +C$55, -(INDEX($F$30:$H$33,C$195,       3)   ))    )*C$42/2+C198*(C79)</f>
        <v>2658.5507775000001</v>
      </c>
      <c r="D202" s="356">
        <f>+D203</f>
        <v>1845.5909905605558</v>
      </c>
      <c r="E202" s="356">
        <f>+E203</f>
        <v>961.30077750000021</v>
      </c>
      <c r="F202" s="356">
        <f>+F203</f>
        <v>1845.5909905605558</v>
      </c>
      <c r="G202" s="25" t="s">
        <v>77</v>
      </c>
      <c r="H202" s="28"/>
      <c r="I202" s="100"/>
      <c r="J202" s="203"/>
      <c r="K202" s="4"/>
      <c r="L202" s="4"/>
    </row>
    <row r="203" spans="1:12">
      <c r="A203" s="365"/>
      <c r="B203" s="1" t="s">
        <v>79</v>
      </c>
      <c r="C203" s="356">
        <f>+(C$56+C$57+  IF( (   INDEX($F$30:$H$33,C$195,       3))&gt;0,+C$55, -(INDEX($F$30:$H$33,C$195,       3)   ))  )*C$42/2 + C199*(C79)</f>
        <v>2658.5507775000001</v>
      </c>
      <c r="D203" s="356">
        <f>+(D$56+D$57+  IF( (   INDEX($F$30:$H$33,D$195,       3))&gt;0,+D$55, -(INDEX($F$30:$H$33,D$195,       3)   ))  )*D$42/2 + D199*(D79)</f>
        <v>1845.5909905605558</v>
      </c>
      <c r="E203" s="356">
        <f>+(E$56+E$57+  IF( (   INDEX($F$30:$H$33,E$195,       3))&gt;0,+E$55, -(INDEX($F$30:$H$33,E$195,       3)   ))  )*E$42/2 + E199*(E79)</f>
        <v>961.30077750000021</v>
      </c>
      <c r="F203" s="356">
        <f>+(F$56+F$57+  IF( (   INDEX($F$30:$H$33,F$195,       3))&gt;0,+F$55, -(INDEX($F$30:$H$33,F$195,       3)   ))  )*F$42/2 + F199*(F79)</f>
        <v>1845.5909905605558</v>
      </c>
      <c r="G203" s="25" t="s">
        <v>77</v>
      </c>
      <c r="H203" s="28"/>
      <c r="I203" s="100"/>
      <c r="J203" s="203"/>
      <c r="K203" s="4"/>
      <c r="L203" s="4"/>
    </row>
    <row r="204" spans="1:12">
      <c r="A204" s="365"/>
      <c r="B204" s="1" t="s">
        <v>95</v>
      </c>
      <c r="C204" s="201">
        <f>+C207*C206</f>
        <v>117.16778250000004</v>
      </c>
      <c r="D204" s="201">
        <f>+D207*D206</f>
        <v>150.91778249999962</v>
      </c>
      <c r="E204" s="201">
        <f>+E207*E206</f>
        <v>353.41778250000004</v>
      </c>
      <c r="F204" s="201">
        <f>+F207*F206</f>
        <v>83.417782499999547</v>
      </c>
      <c r="G204" s="25" t="s">
        <v>77</v>
      </c>
      <c r="H204" s="28"/>
      <c r="I204" s="100"/>
      <c r="J204" s="203"/>
      <c r="K204" s="4"/>
      <c r="L204" s="4"/>
    </row>
    <row r="205" spans="1:12">
      <c r="A205" s="365"/>
      <c r="B205" s="1" t="s">
        <v>96</v>
      </c>
      <c r="C205" s="201">
        <f>+C208*C206</f>
        <v>285.9177825000001</v>
      </c>
      <c r="D205" s="201">
        <f>+D208*D206</f>
        <v>83.417782499999603</v>
      </c>
      <c r="E205" s="201">
        <f>+E208*E206</f>
        <v>218.41778249999999</v>
      </c>
      <c r="F205" s="201">
        <f>+F208*F206</f>
        <v>420.91778249999965</v>
      </c>
      <c r="G205" s="25" t="s">
        <v>77</v>
      </c>
      <c r="H205" s="28"/>
      <c r="I205" s="100"/>
      <c r="J205" s="203"/>
      <c r="K205" s="4"/>
      <c r="L205" s="4"/>
    </row>
    <row r="206" spans="1:12">
      <c r="A206" s="365"/>
      <c r="B206" s="1" t="s">
        <v>82</v>
      </c>
      <c r="C206" s="357">
        <f>+C$56+C$57+  IF((   INDEX($F$30:$H$33,C$195,       3))&gt;0, -(INDEX($F$30:$H$33,C$195,       3))+C$55, -(INDEX($F$30:$H$33,C$195,       3)   ))</f>
        <v>1681.9152000000001</v>
      </c>
      <c r="D206" s="357">
        <f>+D$56+D$57+  IF((   INDEX($F$30:$H$33,D$195,       3))&gt;0, -(INDEX($F$30:$H$33,D$195,       3))+D$55, -(INDEX($F$30:$H$33,D$195,       3)   ))</f>
        <v>257.4250148777777</v>
      </c>
      <c r="E206" s="357">
        <f>+E$56+E$57+  IF(   INDEX($F$30:$H$33,E$195,       3)&gt;0, -INDEX($F$30:$H$33,E$195,       3)+E$55, -INDEX($F$30:$H$33,E$195,       3)   )</f>
        <v>586.91520000000014</v>
      </c>
      <c r="F206" s="357">
        <f>+F$56+F$57+  IF(   INDEX($F$30:$H$33,F$195,       3)&gt;0, -INDEX($F$30:$H$33,F$195,       3)+F$55, -INDEX($F$30:$H$33,F$195,       3)   )</f>
        <v>932.4250148777777</v>
      </c>
      <c r="G206" s="25" t="s">
        <v>41</v>
      </c>
      <c r="H206" s="28"/>
      <c r="I206" s="100"/>
      <c r="J206" s="203"/>
      <c r="K206" s="4"/>
      <c r="L206" s="4"/>
    </row>
    <row r="207" spans="1:12">
      <c r="A207" s="365"/>
      <c r="B207" s="1" t="s">
        <v>97</v>
      </c>
      <c r="C207" s="356">
        <f>+ABS(C$42/2-(C202-C200)/C206)</f>
        <v>6.9663311503457503E-2</v>
      </c>
      <c r="D207" s="202">
        <f>+ABS(D$42/2-(D202-D200)/D206)</f>
        <v>0.58625919696131146</v>
      </c>
      <c r="E207" s="202">
        <f>+ABS(E$42/2-(E202-E200)/E206)</f>
        <v>0.60216157717503305</v>
      </c>
      <c r="F207" s="202">
        <f>+ABS(F$42/2-(F202-F200)/F206)</f>
        <v>8.9463261033311037E-2</v>
      </c>
      <c r="G207" s="271" t="s">
        <v>50</v>
      </c>
      <c r="H207" s="272"/>
      <c r="I207" s="100"/>
      <c r="J207" s="203"/>
    </row>
    <row r="208" spans="1:12">
      <c r="A208" s="365"/>
      <c r="B208" s="1" t="s">
        <v>98</v>
      </c>
      <c r="C208" s="356">
        <f>+ABS(C$42/2-(C203-C201)/C206)</f>
        <v>0.16999536153784689</v>
      </c>
      <c r="D208" s="202">
        <f>+ABS(D$42/2-(D203-D201)/D206)</f>
        <v>0.32404691727260992</v>
      </c>
      <c r="E208" s="202">
        <f>+ABS(E$42/2-(E203-E201)/E206)</f>
        <v>0.37214538403503594</v>
      </c>
      <c r="F208" s="202">
        <f>+ABS(F$42/2-(F203-F201)/F206)</f>
        <v>0.45142266218069405</v>
      </c>
      <c r="G208" s="6" t="s">
        <v>50</v>
      </c>
      <c r="H208" s="28"/>
      <c r="I208" s="100"/>
      <c r="J208" s="203"/>
    </row>
    <row r="209" spans="1:19">
      <c r="A209" s="365"/>
      <c r="B209" s="1" t="s">
        <v>99</v>
      </c>
      <c r="C209" s="201">
        <f>+C$42/6</f>
        <v>0.51666666666666672</v>
      </c>
      <c r="D209" s="201">
        <f>+D$42/6</f>
        <v>0.51666666666666672</v>
      </c>
      <c r="E209" s="201">
        <f>+E$42/6</f>
        <v>0.51666666666666672</v>
      </c>
      <c r="F209" s="201">
        <f>+F$42/6</f>
        <v>0.51666666666666672</v>
      </c>
      <c r="G209" s="20" t="s">
        <v>50</v>
      </c>
      <c r="H209" s="28"/>
      <c r="I209" s="100"/>
      <c r="J209" s="203"/>
    </row>
    <row r="210" spans="1:19">
      <c r="A210" s="365"/>
      <c r="B210" s="1" t="s">
        <v>100</v>
      </c>
      <c r="C210" s="196"/>
      <c r="D210" s="196"/>
      <c r="E210" s="196"/>
      <c r="F210" s="196"/>
      <c r="H210" s="28"/>
      <c r="I210" s="100"/>
      <c r="J210" s="203"/>
      <c r="K210" t="s">
        <v>107</v>
      </c>
      <c r="L210" t="s">
        <v>108</v>
      </c>
      <c r="M210" t="s">
        <v>109</v>
      </c>
      <c r="N210" t="s">
        <v>110</v>
      </c>
      <c r="O210" t="s">
        <v>111</v>
      </c>
      <c r="P210" t="s">
        <v>112</v>
      </c>
      <c r="Q210" t="s">
        <v>113</v>
      </c>
      <c r="R210" t="s">
        <v>114</v>
      </c>
      <c r="S210" t="s">
        <v>115</v>
      </c>
    </row>
    <row r="211" spans="1:19">
      <c r="A211" s="365" t="s">
        <v>473</v>
      </c>
      <c r="B211" s="198" t="s">
        <v>101</v>
      </c>
      <c r="C211" s="362">
        <f>+(C206/C$42^2)*(1+6*C207/C$42+6*C208/C$42)</f>
        <v>256.19987613708838</v>
      </c>
      <c r="D211" s="362">
        <f>+(D206/D$42^2)*(1+6*D207/D$42+6*D208/D$42)</f>
        <v>73.983113561851098</v>
      </c>
      <c r="E211" s="362">
        <f>+(E206/E$42^2)*(1+6*E207/E$42+6*E208/E$42)</f>
        <v>176.24284213353027</v>
      </c>
      <c r="F211" s="362">
        <f>+(F206/F$42^2)*(1+6*F207/F$42+6*F208/F$42)</f>
        <v>198.60128683565858</v>
      </c>
      <c r="G211" s="18" t="s">
        <v>13</v>
      </c>
      <c r="H211" s="28"/>
      <c r="I211" s="100" t="s">
        <v>116</v>
      </c>
      <c r="J211" s="203">
        <v>1.1599999999999999</v>
      </c>
      <c r="K211" s="32">
        <f>+$R$211*(J211*(J213-J212)/(J211*(J213-J212)+J213*J212))</f>
        <v>37.198467850068091</v>
      </c>
      <c r="L211" s="32">
        <f>+$R$211*(J212*(J213-J211)/(J211*(J213-J212)+J213*J212))</f>
        <v>120.12268709815582</v>
      </c>
      <c r="M211" s="5">
        <f>+(J213*J211*J212*(J213-J212)+J213^2*J212^2)</f>
        <v>74.518329600000015</v>
      </c>
      <c r="N211" s="1">
        <f>+J211^2*(J213-J212)^2*(1/3+J212/(6*J213))</f>
        <v>1.1782616823703702</v>
      </c>
      <c r="O211" s="1">
        <f>+(J213*J212-J213*J211)*((J213*J212+J213*J211)/2-J211-J212)</f>
        <v>9.8115840000000016</v>
      </c>
      <c r="P211" s="1">
        <f>+J213*J211*(J212/2*(J213-J211)+J213*J211/6)</f>
        <v>14.012985600000004</v>
      </c>
      <c r="Q211" s="1">
        <f>+M211/(N211+O211+P211)</f>
        <v>2.9803956503335391</v>
      </c>
      <c r="R211" s="33">
        <f>+$Q$211*$F$206/J213^2</f>
        <v>214.42866192931436</v>
      </c>
      <c r="S211" s="14">
        <f>+(J213^2-0.5*J211*J212)/J213^2</f>
        <v>0.90243827160493828</v>
      </c>
    </row>
    <row r="212" spans="1:19">
      <c r="A212" s="365"/>
      <c r="B212" s="199" t="s">
        <v>102</v>
      </c>
      <c r="C212" s="5">
        <f>+(C206/C$42^2)*(1+6*C207/C$42-6*C208/C$42)</f>
        <v>141.03041589741869</v>
      </c>
      <c r="D212" s="5">
        <f>+(D206/D$42^2)*(1+6*D207/D$42-6*D208/D$42)</f>
        <v>40.381912192310118</v>
      </c>
      <c r="E212" s="5">
        <f>+(E206/E$42^2)*(1+6*E207/E$42-6*E208/E$42)</f>
        <v>88.262801517236795</v>
      </c>
      <c r="F212" s="5">
        <f>+(F206/F$42^2)*(1+6*F207/F$42-6*F208/F$42)</f>
        <v>29.052987349236691</v>
      </c>
      <c r="G212" s="18" t="s">
        <v>13</v>
      </c>
      <c r="H212" s="28"/>
      <c r="I212" s="100" t="s">
        <v>117</v>
      </c>
      <c r="J212" s="203">
        <v>2.1800000000000002</v>
      </c>
      <c r="K212" s="5"/>
      <c r="L212" s="5"/>
      <c r="M212" s="5"/>
      <c r="N212" s="1"/>
      <c r="O212" s="1"/>
      <c r="P212" s="1"/>
      <c r="Q212" s="1"/>
    </row>
    <row r="213" spans="1:19">
      <c r="A213" s="365"/>
      <c r="B213" s="199" t="s">
        <v>103</v>
      </c>
      <c r="C213" s="5">
        <f>+(C206/C$42^2)*(1-6*C207/C$42+6*C208/C$42)</f>
        <v>209.00396495585915</v>
      </c>
      <c r="D213" s="5">
        <f>+(D206/D$42^2)*(1-6*D207/D$42+6*D208/D$42)</f>
        <v>13.192492568933931</v>
      </c>
      <c r="E213" s="5">
        <f>+(E206/E$42^2)*(1-6*E207/E$42+6*E208/E$42)</f>
        <v>33.883962270484375</v>
      </c>
      <c r="F213" s="5">
        <f>+(F206/F$42^2)*(1-6*F207/F$42+6*F208/F$42)</f>
        <v>165.00008546611764</v>
      </c>
      <c r="G213" s="18" t="s">
        <v>13</v>
      </c>
      <c r="H213" s="28"/>
      <c r="I213" s="100" t="s">
        <v>118</v>
      </c>
      <c r="J213" s="203">
        <v>3.6</v>
      </c>
      <c r="K213" s="5"/>
      <c r="L213" s="5"/>
      <c r="M213" s="5"/>
      <c r="N213" s="1"/>
      <c r="O213" s="1"/>
      <c r="P213" s="1"/>
      <c r="Q213" s="1"/>
    </row>
    <row r="214" spans="1:19">
      <c r="A214" s="365"/>
      <c r="B214" s="198" t="s">
        <v>104</v>
      </c>
      <c r="C214" s="5">
        <f>+(C206/C$42^2)*(1-6*C207/C$42-6*C208/C$42)</f>
        <v>93.834504716189429</v>
      </c>
      <c r="D214" s="5">
        <f>+(D206/D$42^2)*(1-6*D207/D$42-6*D208/D$42)</f>
        <v>-20.408708800607041</v>
      </c>
      <c r="E214" s="5">
        <f>+(E206/E$42^2)*(1-6*E207/E$42-6*E208/E$42)</f>
        <v>-54.096078345809126</v>
      </c>
      <c r="F214" s="5">
        <f>+(F206/F$42^2)*(1-6*F207/F$42-6*F208/F$42)</f>
        <v>-4.5482140203042549</v>
      </c>
      <c r="G214" s="19" t="s">
        <v>13</v>
      </c>
      <c r="H214" s="28"/>
      <c r="I214" s="100"/>
      <c r="J214" s="203"/>
      <c r="K214" s="5"/>
      <c r="L214" s="5"/>
      <c r="M214" s="5"/>
      <c r="N214" s="1"/>
      <c r="O214" s="1"/>
      <c r="P214" s="1"/>
      <c r="Q214" s="1"/>
    </row>
    <row r="215" spans="1:19">
      <c r="A215" s="365" t="s">
        <v>473</v>
      </c>
      <c r="B215" s="1" t="s">
        <v>119</v>
      </c>
      <c r="C215" s="356">
        <f>AVERAGE(C214,C211)-$C$14*C$43</f>
        <v>118.31719042663892</v>
      </c>
      <c r="D215" s="356">
        <f>AVERAGE(D214,D211)-$C$14*D$43</f>
        <v>-29.912797619377969</v>
      </c>
      <c r="E215" s="356">
        <f>AVERAGE(E214,E211)-$C$14*E$43</f>
        <v>4.3733818938605751</v>
      </c>
      <c r="F215" s="356">
        <f>AVERAGE(F214,F211)-$C$14*F$43</f>
        <v>40.326536407677175</v>
      </c>
      <c r="G215" s="18" t="s">
        <v>13</v>
      </c>
      <c r="H215" s="28"/>
      <c r="I215" s="206" t="s">
        <v>120</v>
      </c>
      <c r="J215" s="203"/>
    </row>
    <row r="216" spans="1:19">
      <c r="A216" s="365" t="s">
        <v>473</v>
      </c>
      <c r="B216" s="1" t="s">
        <v>121</v>
      </c>
      <c r="C216" s="356">
        <f>(C211+MAX(C212,C213))/2</f>
        <v>232.60192054647376</v>
      </c>
      <c r="D216" s="356">
        <f>(D211+MAX(D212,D213))/2</f>
        <v>57.182512877080612</v>
      </c>
      <c r="E216" s="356">
        <f>(E211+MAX(E212,E213))/2</f>
        <v>132.25282182538353</v>
      </c>
      <c r="F216" s="356">
        <f>(F211+MAX(F212,F213))/2</f>
        <v>181.80068615088811</v>
      </c>
      <c r="G216" s="18" t="s">
        <v>13</v>
      </c>
      <c r="H216" s="28"/>
      <c r="I216" s="206" t="s">
        <v>122</v>
      </c>
      <c r="J216" s="203"/>
    </row>
    <row r="217" spans="1:19" ht="15.75" thickBot="1">
      <c r="A217" s="365"/>
      <c r="B217" s="208"/>
      <c r="C217" s="273"/>
      <c r="D217" s="273"/>
      <c r="E217" s="273"/>
      <c r="F217" s="273"/>
      <c r="G217" s="50"/>
      <c r="H217" s="127"/>
      <c r="I217" s="100"/>
      <c r="J217" s="203"/>
      <c r="M217" t="s">
        <v>333</v>
      </c>
    </row>
    <row r="218" spans="1:19" ht="15.75" thickBot="1">
      <c r="A218" s="200">
        <v>6</v>
      </c>
      <c r="B218" s="200" t="s">
        <v>123</v>
      </c>
      <c r="C218" s="129">
        <f>+(C$216*C$42-$C$12*C$40-$C$14*C$47)</f>
        <v>661.24595369406859</v>
      </c>
      <c r="D218" s="129"/>
      <c r="E218" s="129"/>
      <c r="F218" s="129"/>
      <c r="G218" s="129"/>
      <c r="H218" s="122"/>
      <c r="I218" s="100"/>
      <c r="J218" s="203"/>
    </row>
    <row r="219" spans="1:19" ht="15.75" thickBot="1">
      <c r="A219" s="274"/>
      <c r="B219" s="31"/>
      <c r="C219">
        <f>+(C$42/2-C$39/2-C$46)</f>
        <v>0.95</v>
      </c>
      <c r="H219" s="28"/>
      <c r="I219" s="100"/>
      <c r="J219" s="203"/>
    </row>
    <row r="220" spans="1:19" ht="15.75" thickBot="1">
      <c r="A220" s="200">
        <v>6.1</v>
      </c>
      <c r="B220" s="200" t="s">
        <v>124</v>
      </c>
      <c r="H220" s="28"/>
      <c r="I220" s="100"/>
      <c r="J220" s="203"/>
    </row>
    <row r="221" spans="1:19">
      <c r="A221" s="365"/>
      <c r="B221" s="164" t="s">
        <v>125</v>
      </c>
      <c r="C221" s="16">
        <f>+(C$39+C$46)*4</f>
        <v>3.4000000000000004</v>
      </c>
      <c r="D221" s="16">
        <f>+(D$39+D$46)*4</f>
        <v>3.4000000000000004</v>
      </c>
      <c r="E221" s="16">
        <f>+(E$39+E$46)*4</f>
        <v>3.4000000000000004</v>
      </c>
      <c r="F221" s="16">
        <f>+(F$39+F$46)*4</f>
        <v>3.4000000000000004</v>
      </c>
      <c r="G221" s="20" t="s">
        <v>50</v>
      </c>
      <c r="H221" s="28"/>
      <c r="I221" s="100"/>
      <c r="J221" s="203"/>
    </row>
    <row r="222" spans="1:19">
      <c r="A222" s="365"/>
      <c r="B222" s="1" t="s">
        <v>126</v>
      </c>
      <c r="C222" s="16">
        <f>ABS(C215*(C$42^2-(C$39+C$46)^2))</f>
        <v>1051.5440299167535</v>
      </c>
      <c r="D222" s="16">
        <f>ABS(D215*(D$42^2-(D$39+D$46)^2))</f>
        <v>265.84998884222171</v>
      </c>
      <c r="E222" s="16">
        <f>ABS(E215*(E$42^2-(E$39+E$46)^2))</f>
        <v>38.868431581685869</v>
      </c>
      <c r="F222" s="16">
        <f>ABS(F215*(F$42^2-(F$39+F$46)^2))</f>
        <v>358.40209232323093</v>
      </c>
      <c r="G222" s="23" t="s">
        <v>41</v>
      </c>
      <c r="H222" s="28"/>
      <c r="I222" s="100"/>
      <c r="J222" s="203"/>
    </row>
    <row r="223" spans="1:19">
      <c r="A223" s="365"/>
      <c r="B223" s="1" t="s">
        <v>127</v>
      </c>
      <c r="C223" s="16">
        <f>+C225*1000*C$221*C$46</f>
        <v>1349.6831065568692</v>
      </c>
      <c r="D223" s="16">
        <f>+D225*1000*D$221*D$46</f>
        <v>1349.6831065568692</v>
      </c>
      <c r="E223" s="16">
        <f>+E225*1000*E$221*E$46</f>
        <v>1349.6831065568692</v>
      </c>
      <c r="F223" s="16">
        <f>+F225*1000*F$221*F$46</f>
        <v>1349.6831065568692</v>
      </c>
      <c r="G223" s="23" t="s">
        <v>41</v>
      </c>
      <c r="H223" s="28"/>
      <c r="I223" s="100"/>
      <c r="J223" s="203"/>
    </row>
    <row r="224" spans="1:19">
      <c r="A224" s="365"/>
      <c r="B224" s="1" t="s">
        <v>128</v>
      </c>
      <c r="C224" s="16">
        <f>+(ABS(C215)*(C42^2-(C$39+C$46)^2)/  ( C221  ) /C46)/1000</f>
        <v>0.88365044530819603</v>
      </c>
      <c r="D224" s="16">
        <f>+(ABS(D215)*(D42^2-(D$39+D$46)^2)/  ( D221  ) /D46)/1000</f>
        <v>0.22340335196825348</v>
      </c>
      <c r="E224" s="16">
        <f>+(ABS(E215)*(E42^2-(E$39+E$46)^2)/  ( E221  ) /E46)/1000</f>
        <v>3.266254754763518E-2</v>
      </c>
      <c r="F224" s="16">
        <f>+(ABS(F215)*(F42^2-(F$39+F$46)^2)/  ( F221  ) /F46)/1000</f>
        <v>0.30117822884305118</v>
      </c>
      <c r="G224" s="24" t="s">
        <v>32</v>
      </c>
      <c r="H224" s="28"/>
      <c r="I224" s="162" t="s">
        <v>324</v>
      </c>
      <c r="J224" s="203">
        <f>+MAX(C224:F224)</f>
        <v>0.88365044530819603</v>
      </c>
      <c r="K224" t="s">
        <v>308</v>
      </c>
      <c r="L224" s="203">
        <f>+MIN(C225:F225)</f>
        <v>1.1341874845015705</v>
      </c>
    </row>
    <row r="225" spans="1:12">
      <c r="A225" s="365"/>
      <c r="B225" s="1" t="s">
        <v>129</v>
      </c>
      <c r="C225" s="356">
        <f>+MIN(C226:C228)</f>
        <v>1.1341874845015705</v>
      </c>
      <c r="D225" s="16">
        <f>+MIN(D226:D228)</f>
        <v>1.1341874845015705</v>
      </c>
      <c r="E225" s="16">
        <f>+MIN(E226:E228)</f>
        <v>1.1341874845015705</v>
      </c>
      <c r="F225" s="16">
        <f>+MIN(F226:F228)</f>
        <v>1.1341874845015705</v>
      </c>
      <c r="G225" s="22" t="s">
        <v>32</v>
      </c>
      <c r="H225" s="28"/>
      <c r="I225" s="100"/>
      <c r="J225" s="203"/>
    </row>
    <row r="226" spans="1:12">
      <c r="A226" s="365"/>
      <c r="B226" s="167" t="s">
        <v>130</v>
      </c>
      <c r="C226" s="356">
        <f>0.75*SQRT($C$16)*0.33</f>
        <v>1.1341874845015705</v>
      </c>
      <c r="D226" s="16">
        <f>0.75*SQRT($C$16)*0.33</f>
        <v>1.1341874845015705</v>
      </c>
      <c r="E226" s="16">
        <f>0.75*SQRT($C$16)*0.33</f>
        <v>1.1341874845015705</v>
      </c>
      <c r="F226" s="16">
        <f>0.75*SQRT($C$16)*0.33</f>
        <v>1.1341874845015705</v>
      </c>
      <c r="G226" s="22" t="s">
        <v>32</v>
      </c>
      <c r="H226" s="28"/>
      <c r="I226" s="100"/>
      <c r="J226" s="203"/>
    </row>
    <row r="227" spans="1:12">
      <c r="A227" s="365"/>
      <c r="B227" s="167" t="s">
        <v>131</v>
      </c>
      <c r="C227" s="356">
        <f>0.75*0.17*(1+2/1)*SQRT($C$16)</f>
        <v>1.7528352033206087</v>
      </c>
      <c r="D227" s="16">
        <f>0.75*0.17*(1+2/1)*SQRT($C$16)</f>
        <v>1.7528352033206087</v>
      </c>
      <c r="E227" s="16">
        <f>0.75*0.17*(1+2/1)*SQRT($C$16)</f>
        <v>1.7528352033206087</v>
      </c>
      <c r="F227" s="16">
        <f>0.75*0.17*(1+2/1)*SQRT($C$16)</f>
        <v>1.7528352033206087</v>
      </c>
      <c r="G227" s="22" t="s">
        <v>32</v>
      </c>
      <c r="H227" s="28"/>
      <c r="I227" s="100"/>
      <c r="J227" s="203"/>
    </row>
    <row r="228" spans="1:12">
      <c r="A228" s="365"/>
      <c r="B228" s="167" t="s">
        <v>132</v>
      </c>
      <c r="C228" s="356">
        <f>0.75*SQRT($C$16)*0.083*(40*C$46/(C$221)+2)</f>
        <v>1.7451526499496535</v>
      </c>
      <c r="D228" s="16">
        <f>0.75*SQRT($C$16)*0.083*(40*D$46/(D$221)+2)</f>
        <v>1.7451526499496535</v>
      </c>
      <c r="E228" s="16">
        <f>0.75*SQRT($C$16)*0.083*(40*E$46/(E$221)+2)</f>
        <v>1.7451526499496535</v>
      </c>
      <c r="F228" s="16">
        <f>0.75*SQRT($C$16)*0.083*(40*F$46/(F$221)+2)</f>
        <v>1.7451526499496535</v>
      </c>
      <c r="G228" s="22" t="s">
        <v>32</v>
      </c>
      <c r="H228" s="28"/>
      <c r="I228" s="100"/>
      <c r="J228" s="203"/>
    </row>
    <row r="229" spans="1:12">
      <c r="A229" s="365" t="s">
        <v>475</v>
      </c>
      <c r="B229" s="167"/>
      <c r="C229" s="356">
        <f>+C225/C224</f>
        <v>1.2835250528346569</v>
      </c>
      <c r="D229" s="356">
        <f>+D225/D224</f>
        <v>5.0768597449815482</v>
      </c>
      <c r="E229" s="356">
        <f>+E225/E224</f>
        <v>34.724403626124605</v>
      </c>
      <c r="F229" s="356">
        <f>+F225/F224</f>
        <v>3.7658348973577831</v>
      </c>
      <c r="G229" s="205"/>
      <c r="H229" s="126"/>
      <c r="I229" s="100"/>
      <c r="J229" s="203"/>
    </row>
    <row r="230" spans="1:12" ht="31.5" customHeight="1">
      <c r="A230" s="365" t="s">
        <v>476</v>
      </c>
      <c r="B230" s="362" t="s">
        <v>133</v>
      </c>
      <c r="C230" s="207" t="str">
        <f>IF(C224&lt;=C225,"OK","Aumentar espesor")</f>
        <v>OK</v>
      </c>
      <c r="D230" s="207" t="str">
        <f>IF(D224&lt;=D225,"OK","Aumentar espesor")</f>
        <v>OK</v>
      </c>
      <c r="E230" s="207" t="str">
        <f>IF(E224&lt;=E225,"OK","Aumentar espesor")</f>
        <v>OK</v>
      </c>
      <c r="F230" s="207" t="str">
        <f>IF(F224&lt;=F225,"OK","Aumentar espesor")</f>
        <v>OK</v>
      </c>
      <c r="G230" s="204"/>
      <c r="H230" s="28"/>
      <c r="I230" s="100"/>
      <c r="J230" s="203"/>
    </row>
    <row r="231" spans="1:12">
      <c r="A231" s="365"/>
      <c r="B231" s="1" t="s">
        <v>126</v>
      </c>
      <c r="C231" s="356">
        <f>+(C$216*C$42-$C$12*C$40-$C$14*C$47)*(C$42/2-C$39/2-C$46)</f>
        <v>628.18365600936511</v>
      </c>
      <c r="D231" s="16">
        <f>+(D$216*D$42-$C$12*D$40-$C$14*D$47)*(D$42/2-D$39/2-D$46)</f>
        <v>111.57350042300241</v>
      </c>
      <c r="E231" s="16">
        <f>+(E$216*E$42-$C$12*E$40-$C$14*E$47)*(E$42/2-E$39/2-E$46)</f>
        <v>332.65556027575451</v>
      </c>
      <c r="F231" s="16">
        <f>+(F$216*F$42-$C$12*F$40-$C$14*F$47)*(F$42/2-F$39/2-F$46)</f>
        <v>478.57402071436542</v>
      </c>
      <c r="G231" s="23" t="s">
        <v>41</v>
      </c>
      <c r="H231" s="28"/>
      <c r="I231" s="162" t="s">
        <v>323</v>
      </c>
      <c r="J231" s="203">
        <f>+MAX(C231:F231)</f>
        <v>628.18365600936511</v>
      </c>
      <c r="K231" t="s">
        <v>308</v>
      </c>
      <c r="L231" s="4">
        <f>+MIN(C232:F232)</f>
        <v>633.94206520095361</v>
      </c>
    </row>
    <row r="232" spans="1:12">
      <c r="A232" s="365"/>
      <c r="B232" s="1" t="s">
        <v>127</v>
      </c>
      <c r="C232" s="16">
        <f>+C234*1000*C$42*C$46</f>
        <v>633.94206520095361</v>
      </c>
      <c r="D232" s="16">
        <f>+D234*1000*D$42*D$46</f>
        <v>633.94206520095361</v>
      </c>
      <c r="E232" s="16">
        <f>+E234*1000*E$42*E$46</f>
        <v>633.94206520095361</v>
      </c>
      <c r="F232" s="16">
        <f>+F234*1000*F$42*F$46</f>
        <v>633.94206520095361</v>
      </c>
      <c r="G232" s="23" t="s">
        <v>41</v>
      </c>
      <c r="H232" s="28"/>
      <c r="I232" s="100"/>
      <c r="J232" s="203"/>
    </row>
    <row r="233" spans="1:12">
      <c r="A233" s="365"/>
      <c r="B233" s="167" t="s">
        <v>134</v>
      </c>
      <c r="C233" s="356">
        <f>+C$231/($C$42*$C$46)/1000</f>
        <v>0.57897111152936864</v>
      </c>
      <c r="D233" s="16">
        <f>+D$231/($C$42*$C$46)/1000</f>
        <v>0.10283271928387318</v>
      </c>
      <c r="E233" s="16">
        <f>+E$231/($C$42*$C$46)/1000</f>
        <v>0.3065949864292668</v>
      </c>
      <c r="F233" s="16">
        <f>+F$231/($C$42*$C$46)/1000</f>
        <v>0.44108204674135054</v>
      </c>
      <c r="G233" s="22" t="s">
        <v>32</v>
      </c>
      <c r="H233" s="28"/>
      <c r="I233" s="100"/>
      <c r="J233" s="203"/>
    </row>
    <row r="234" spans="1:12">
      <c r="A234" s="365"/>
      <c r="B234" s="167" t="s">
        <v>135</v>
      </c>
      <c r="C234" s="356">
        <f>+SQRT($C$16)*0.17*0.75</f>
        <v>0.58427840110686968</v>
      </c>
      <c r="D234" s="16">
        <f>+SQRT($C$16)*0.17*0.75</f>
        <v>0.58427840110686968</v>
      </c>
      <c r="E234" s="16">
        <f>+SQRT($C$16)*0.17*0.75</f>
        <v>0.58427840110686968</v>
      </c>
      <c r="F234" s="16">
        <f>+SQRT($C$16)*0.17*0.75</f>
        <v>0.58427840110686968</v>
      </c>
      <c r="G234" s="22" t="s">
        <v>32</v>
      </c>
      <c r="H234" s="126"/>
      <c r="I234" s="100"/>
      <c r="J234" s="203"/>
    </row>
    <row r="235" spans="1:12">
      <c r="A235" s="365" t="s">
        <v>477</v>
      </c>
      <c r="B235" s="167"/>
      <c r="C235" s="356">
        <f>+C232/C231</f>
        <v>1.0091667606065553</v>
      </c>
      <c r="D235" s="356">
        <f>+D232/D231</f>
        <v>5.6818336145905999</v>
      </c>
      <c r="E235" s="356">
        <f>+E232/E231</f>
        <v>1.905701094175152</v>
      </c>
      <c r="F235" s="356">
        <f>+F232/F231</f>
        <v>1.3246478867671734</v>
      </c>
      <c r="G235" s="205"/>
      <c r="H235" s="126"/>
      <c r="I235" s="100"/>
      <c r="J235" s="203"/>
    </row>
    <row r="236" spans="1:12" ht="29.25" customHeight="1">
      <c r="A236" s="365" t="s">
        <v>478</v>
      </c>
      <c r="B236" s="362" t="s">
        <v>136</v>
      </c>
      <c r="C236" s="207" t="str">
        <f>IF(C231&lt;=C232,"OK","Aumentar espesor")</f>
        <v>OK</v>
      </c>
      <c r="D236" s="207" t="str">
        <f>IF(D231&lt;=D232,"OK","Aumentar espesor")</f>
        <v>OK</v>
      </c>
      <c r="E236" s="207" t="str">
        <f>IF(E231&lt;=E232,"OK","Aumentar espesor")</f>
        <v>OK</v>
      </c>
      <c r="F236" s="207" t="str">
        <f>IF(F231&lt;=F232,"OK","Aumentar espesor")</f>
        <v>OK</v>
      </c>
      <c r="G236" s="205"/>
      <c r="H236" s="28"/>
      <c r="I236" s="100"/>
      <c r="J236" s="236"/>
    </row>
    <row r="237" spans="1:12" ht="15.75" thickBot="1">
      <c r="A237" s="252"/>
      <c r="B237" s="275"/>
      <c r="C237" s="180">
        <f>+C$40*$C$12</f>
        <v>9.6000000000000014</v>
      </c>
      <c r="D237" s="180"/>
      <c r="E237" s="180"/>
      <c r="F237" s="180"/>
      <c r="G237" s="162"/>
      <c r="H237" s="28"/>
      <c r="I237" s="100"/>
      <c r="J237" s="203"/>
    </row>
    <row r="238" spans="1:12" ht="15.75" thickBot="1">
      <c r="A238" s="200" t="s">
        <v>137</v>
      </c>
      <c r="B238" s="200" t="s">
        <v>138</v>
      </c>
      <c r="C238" s="180">
        <f>--(C$47)*$C$14</f>
        <v>50.22</v>
      </c>
      <c r="D238" s="180"/>
      <c r="E238" s="180"/>
      <c r="F238" s="180"/>
      <c r="G238" s="162"/>
      <c r="H238" s="28"/>
      <c r="I238" s="100"/>
      <c r="J238" s="203"/>
    </row>
    <row r="239" spans="1:12">
      <c r="A239" s="365" t="s">
        <v>479</v>
      </c>
      <c r="B239" s="164" t="s">
        <v>139</v>
      </c>
      <c r="C239" s="356">
        <f>+(C211-C$40*$C$12-(C$47)*$C$14)*C$42  *((C$42-C$39)/2)^2/2</f>
        <v>514.41708554110312</v>
      </c>
      <c r="D239" s="16">
        <f>+(D211-D$40*$C$12-(D$47)*$C$14)*D$42  *((D$42-D$39)/2)^2/2</f>
        <v>37.100275975268978</v>
      </c>
      <c r="E239" s="16">
        <f>+(E211-E$40*$C$12-(E$47)*$C$14)*E$42  *((E$42-E$39)/2)^2/2</f>
        <v>304.96963496878266</v>
      </c>
      <c r="F239" s="16">
        <f>+(F211-F$40*$C$12-(F$47)*$C$14)*F$42  *((F$42-F$39)/2)^2/2</f>
        <v>363.53758086600772</v>
      </c>
      <c r="G239" s="21" t="s">
        <v>77</v>
      </c>
      <c r="H239" s="28"/>
      <c r="I239" s="100"/>
      <c r="J239" s="203"/>
    </row>
    <row r="240" spans="1:12">
      <c r="A240" s="365"/>
      <c r="B240" s="1" t="s">
        <v>140</v>
      </c>
      <c r="C240" s="249">
        <f>0.85*$C$16/$C$15*(1-SQRT((1-2*$C$15/0.85/$C$16*((C239/0.9/C$42/C$46^2)/1000)/$C$15)))</f>
        <v>3.7490051828507685E-3</v>
      </c>
      <c r="D240" s="249">
        <f>0.85*$C$16/$C$15*(1-SQRT((1-2*$C$15/0.85/$C$16*((D239/D$42/D$46^2)/1000)/0.9/$C$15)))</f>
        <v>2.5924725465129608E-4</v>
      </c>
      <c r="E240" s="249">
        <f>0.85*$C$16/$C$15*(1-SQRT((1-2*$C$15/0.85/$C$16*((E239/E$42/E$46^2)/1000)/0.9/$C$15)))</f>
        <v>2.1804858093381896E-3</v>
      </c>
      <c r="F240" s="249">
        <f>0.85*$C$16/$C$15*(1-SQRT((1-2*$C$15/0.85/$C$16*((F239/F$42/F$46^2)/1000)/0.9/$C$15)))</f>
        <v>2.612879192839185E-3</v>
      </c>
      <c r="G240" s="205"/>
      <c r="H240" s="28"/>
      <c r="I240" s="100"/>
      <c r="J240" s="203"/>
    </row>
    <row r="241" spans="1:13">
      <c r="A241" s="365" t="s">
        <v>481</v>
      </c>
      <c r="B241" s="1" t="s">
        <v>141</v>
      </c>
      <c r="C241" s="249">
        <v>1.8E-3</v>
      </c>
      <c r="D241" s="249">
        <v>1.8E-3</v>
      </c>
      <c r="E241" s="249">
        <v>1.8E-3</v>
      </c>
      <c r="F241" s="249">
        <v>1.8E-3</v>
      </c>
      <c r="G241" s="212"/>
      <c r="H241" s="28"/>
      <c r="J241" s="203"/>
    </row>
    <row r="242" spans="1:13" ht="17.25">
      <c r="B242" s="1" t="s">
        <v>142</v>
      </c>
      <c r="C242" s="16">
        <f>C$42*C$40*100*100*MAX(C241,C240)</f>
        <v>46.487664267349544</v>
      </c>
      <c r="D242" s="16">
        <f>+IF(D241&gt;D240,D$42*D$40*100*100*D241,D$42*D40*100*100*D240)</f>
        <v>22.320000000000007</v>
      </c>
      <c r="E242" s="16">
        <f>+IF(E241&gt;E240,E$42*E$40*100*100*E241,E$42*E40*100*100*E240)</f>
        <v>27.038024035793558</v>
      </c>
      <c r="F242" s="16">
        <f>+IF(F241&gt;F240,F$42*F$40*100*100*F241,F$42*F40*100*100*F240)</f>
        <v>32.399701991205902</v>
      </c>
      <c r="G242" s="22" t="s">
        <v>143</v>
      </c>
      <c r="H242" s="28"/>
      <c r="I242" s="100"/>
      <c r="J242" s="203"/>
      <c r="M242" s="13"/>
    </row>
    <row r="243" spans="1:13">
      <c r="A243" s="365"/>
      <c r="B243" s="1" t="s">
        <v>144</v>
      </c>
      <c r="C243" s="276" t="s">
        <v>160</v>
      </c>
      <c r="D243" s="277" t="str">
        <f>+C243</f>
        <v>No. 8</v>
      </c>
      <c r="E243" s="277" t="str">
        <f>+D243</f>
        <v>No. 8</v>
      </c>
      <c r="F243" s="277" t="str">
        <f>+E243</f>
        <v>No. 8</v>
      </c>
      <c r="G243" s="214"/>
      <c r="H243" s="28"/>
      <c r="I243" s="100"/>
      <c r="J243" s="203"/>
      <c r="M243" s="13"/>
    </row>
    <row r="244" spans="1:13">
      <c r="A244" s="365"/>
      <c r="B244" s="1" t="str">
        <f>"Cantidad de barras "&amp;$C$243</f>
        <v>Cantidad de barras No. 8</v>
      </c>
      <c r="C244" s="240">
        <f>ROUNDUP(C242/VLOOKUP(C243,$K$258:$L$263,2,FALSE),0 )</f>
        <v>10</v>
      </c>
      <c r="D244" s="240">
        <f>ROUNDUP(D242/VLOOKUP(D243,$K$258:$L$263,2,FALSE),0 )</f>
        <v>5</v>
      </c>
      <c r="E244" s="240">
        <f>ROUNDUP(E242/VLOOKUP(E243,$K$258:$L$263,2,FALSE),0 )</f>
        <v>6</v>
      </c>
      <c r="F244" s="240">
        <f>ROUNDUP(F242/VLOOKUP(F243,$K$258:$L$263,2,FALSE),0 )</f>
        <v>7</v>
      </c>
      <c r="G244" s="302">
        <v>14</v>
      </c>
      <c r="H244" s="28"/>
      <c r="I244" s="100"/>
      <c r="J244" s="203"/>
      <c r="M244" s="13"/>
    </row>
    <row r="245" spans="1:13">
      <c r="A245" s="365"/>
      <c r="B245" s="1" t="s">
        <v>146</v>
      </c>
      <c r="C245" s="16">
        <f>(C$42-C$45*2)/($G$244-1)</f>
        <v>0.23076923076923078</v>
      </c>
      <c r="D245" s="16">
        <f>(D$42-D$45*2)/($G$244-1)</f>
        <v>0.23076923076923078</v>
      </c>
      <c r="E245" s="16">
        <f>(E$42-E$45*2)/($G$244-1)</f>
        <v>0.23076923076923078</v>
      </c>
      <c r="F245" s="16">
        <f>(F$42-F$45*2)/($G$244-1)</f>
        <v>0.23076923076923078</v>
      </c>
      <c r="G245" s="22" t="s">
        <v>50</v>
      </c>
      <c r="H245" s="28"/>
      <c r="I245" s="100"/>
      <c r="J245" s="203"/>
      <c r="M245" s="13"/>
    </row>
    <row r="246" spans="1:13" ht="15.75" thickBot="1">
      <c r="A246" s="365"/>
      <c r="C246" s="278"/>
      <c r="D246" s="278"/>
      <c r="E246" s="278"/>
      <c r="F246" s="278"/>
      <c r="G246" s="162"/>
      <c r="H246" s="28"/>
      <c r="I246" s="100"/>
      <c r="J246" s="203">
        <f>5*SQRT(6.9/1000)*39.37^2</f>
        <v>643.76206184945192</v>
      </c>
      <c r="M246" s="13"/>
    </row>
    <row r="247" spans="1:13" ht="15.75" thickBot="1">
      <c r="A247" s="200" t="s">
        <v>147</v>
      </c>
      <c r="B247" s="200" t="s">
        <v>148</v>
      </c>
      <c r="C247" s="278"/>
      <c r="D247" s="100"/>
      <c r="E247" s="100"/>
      <c r="F247" s="100"/>
      <c r="G247" s="162"/>
      <c r="H247" s="28"/>
      <c r="I247" s="100"/>
      <c r="J247" s="203"/>
      <c r="M247" s="13"/>
    </row>
    <row r="248" spans="1:13">
      <c r="A248" s="365" t="s">
        <v>480</v>
      </c>
      <c r="B248" s="164" t="s">
        <v>139</v>
      </c>
      <c r="C248" s="16">
        <f>+(($H$31-C$57)/(C42)*   ((C42-C39)/2)^2)/2</f>
        <v>213.46989677419356</v>
      </c>
      <c r="D248" s="16">
        <f>+(($H$31-D$57)/(D42)*   ((D42-D39)/2)^2)/2</f>
        <v>213.46989677419356</v>
      </c>
      <c r="E248" s="16">
        <f>+(($H$31-E$57)/(E42)*   ((E42-E39)/2)^2)/2</f>
        <v>213.46989677419356</v>
      </c>
      <c r="F248" s="16">
        <f>+(($H$31-F$57)/(F42)*   ((F42-F39)/2)^2)/2</f>
        <v>213.46989677419356</v>
      </c>
      <c r="G248" s="21" t="s">
        <v>77</v>
      </c>
      <c r="H248" s="28"/>
      <c r="I248" s="100"/>
      <c r="J248" s="203"/>
    </row>
    <row r="249" spans="1:13">
      <c r="A249" s="365"/>
      <c r="B249" s="1" t="s">
        <v>140</v>
      </c>
      <c r="C249" s="249">
        <f>0.85*$C$16/$C$15*(1-SQRT((1-2*$C$15/0.85/$C$16*((C248/C$42/C$46^2)/1000)/0.9/$C$15)))</f>
        <v>1.5140939304893908E-3</v>
      </c>
      <c r="D249" s="249">
        <f>0.85*$C$16/$C$15*(1-SQRT((1-2*$C$15/0.85/$C$16*((D248/D$42/D$46^2)/1000)/0.9/$C$15)))</f>
        <v>1.5140939304893908E-3</v>
      </c>
      <c r="E249" s="249">
        <f>0.85*$C$16/$C$15*(1-SQRT((1-2*$C$15/0.85/$C$16*((E248/E$42/E$46^2)/1000)/0.9/$C$15)))</f>
        <v>1.5140939304893908E-3</v>
      </c>
      <c r="F249" s="249">
        <f>0.85*$C$16/$C$15*(1-SQRT((1-2*$C$15/0.85/$C$16*((F248/F$42/F$46^2)/1000)/0.9/$C$15)))</f>
        <v>1.5140939304893908E-3</v>
      </c>
      <c r="G249" s="205"/>
      <c r="H249" s="28"/>
      <c r="I249" s="100"/>
      <c r="J249" s="203"/>
    </row>
    <row r="250" spans="1:13">
      <c r="A250" s="365" t="s">
        <v>482</v>
      </c>
      <c r="B250" s="1" t="s">
        <v>141</v>
      </c>
      <c r="C250" s="249">
        <v>1.8E-3</v>
      </c>
      <c r="D250" s="249">
        <v>1.8E-3</v>
      </c>
      <c r="E250" s="249">
        <v>1.8E-3</v>
      </c>
      <c r="F250" s="249">
        <v>1.8E-3</v>
      </c>
      <c r="G250" s="212"/>
      <c r="H250" s="28"/>
      <c r="I250" s="100"/>
      <c r="J250" s="203"/>
    </row>
    <row r="251" spans="1:13" ht="17.25">
      <c r="A251" s="365"/>
      <c r="B251" s="1" t="s">
        <v>142</v>
      </c>
      <c r="C251" s="16">
        <f>+IF(C250&gt;C249,C$42*C$40*100*100*C250,C$42*C40*100*100*C249)</f>
        <v>22.320000000000007</v>
      </c>
      <c r="D251" s="16">
        <f>+IF(D250&gt;D249,D$42*D$40*100*100*D250,D$42*D40*100*100*D249)</f>
        <v>22.320000000000007</v>
      </c>
      <c r="E251" s="16">
        <f>+IF(E250&gt;E249,E$42*E$40*100*100*E250,E$42*E40*100*100*E249)</f>
        <v>22.320000000000007</v>
      </c>
      <c r="F251" s="16">
        <f>+IF(F250&gt;F249,F$42*F$40*100*100*F250,F$42*F40*100*100*F249)</f>
        <v>22.320000000000007</v>
      </c>
      <c r="G251" s="22" t="s">
        <v>143</v>
      </c>
      <c r="H251" s="28"/>
      <c r="I251" s="100"/>
      <c r="J251" s="203"/>
    </row>
    <row r="252" spans="1:13">
      <c r="A252" s="365"/>
      <c r="B252" s="1" t="s">
        <v>144</v>
      </c>
      <c r="C252" s="276" t="str">
        <f>+C243</f>
        <v>No. 8</v>
      </c>
      <c r="D252" s="277" t="str">
        <f>+C252</f>
        <v>No. 8</v>
      </c>
      <c r="E252" s="277" t="str">
        <f>+D252</f>
        <v>No. 8</v>
      </c>
      <c r="F252" s="277" t="str">
        <f>+E252</f>
        <v>No. 8</v>
      </c>
      <c r="G252" s="22" t="s">
        <v>50</v>
      </c>
      <c r="H252" s="28"/>
      <c r="I252" s="100"/>
      <c r="J252" s="203"/>
    </row>
    <row r="253" spans="1:13">
      <c r="A253" s="365"/>
      <c r="B253" s="1" t="str">
        <f>"Cantidad de barras "&amp;$C$252</f>
        <v>Cantidad de barras No. 8</v>
      </c>
      <c r="C253" s="240">
        <f>ROUNDUP(C251/VLOOKUP(C252,$K$258:$L$263,2,FALSE),0 )</f>
        <v>5</v>
      </c>
      <c r="D253" s="240">
        <f>ROUNDUP(D251/VLOOKUP(D252,$K$258:$L$263,2,FALSE),0 )</f>
        <v>5</v>
      </c>
      <c r="E253" s="240">
        <f>ROUNDUP(E251/VLOOKUP(E252,$K$258:$L$263,2,FALSE),0 )</f>
        <v>5</v>
      </c>
      <c r="F253" s="240">
        <f>ROUNDUP(F251/VLOOKUP(F252,$K$258:$L$263,2,FALSE),0 )</f>
        <v>5</v>
      </c>
      <c r="G253" s="302">
        <f>+G244</f>
        <v>14</v>
      </c>
      <c r="H253" s="28"/>
      <c r="I253" s="100"/>
      <c r="J253" s="203"/>
    </row>
    <row r="254" spans="1:13">
      <c r="A254" s="365"/>
      <c r="B254" s="1" t="s">
        <v>146</v>
      </c>
      <c r="C254" s="16">
        <f>(C$42-C$45*2)/($G$253-1)</f>
        <v>0.23076923076923078</v>
      </c>
      <c r="D254" s="16">
        <f>(D$42-D$45*2)/($G$253-1)</f>
        <v>0.23076923076923078</v>
      </c>
      <c r="E254" s="16">
        <f>(E$42-E$45*2)/($G$253-1)</f>
        <v>0.23076923076923078</v>
      </c>
      <c r="F254" s="16">
        <f>(F$42-F$45*2)/($G$253-1)</f>
        <v>0.23076923076923078</v>
      </c>
      <c r="G254" s="22" t="s">
        <v>50</v>
      </c>
      <c r="H254" s="28"/>
      <c r="I254" s="100"/>
      <c r="J254" s="203"/>
    </row>
    <row r="255" spans="1:13" ht="15.75" thickBot="1">
      <c r="A255" s="365"/>
      <c r="C255" s="12">
        <f>+VLOOKUP(C252,$K$258:$L$263,2,FALSE)</f>
        <v>5.0999999999999996</v>
      </c>
      <c r="D255" s="12"/>
      <c r="E255" s="12"/>
      <c r="F255" s="12"/>
      <c r="H255" s="28"/>
      <c r="I255" s="100"/>
      <c r="J255" s="203"/>
    </row>
    <row r="256" spans="1:13" ht="15.75" thickBot="1">
      <c r="A256" s="200">
        <v>6.2</v>
      </c>
      <c r="B256" s="200" t="s">
        <v>149</v>
      </c>
      <c r="H256" s="28"/>
      <c r="I256" s="100"/>
      <c r="J256" s="203"/>
    </row>
    <row r="257" spans="1:13" ht="15.75" thickBot="1">
      <c r="A257" s="274"/>
      <c r="B257" s="31"/>
      <c r="D257" s="4"/>
      <c r="E257" s="4"/>
      <c r="H257" s="28"/>
      <c r="I257" s="100"/>
      <c r="J257" s="203"/>
      <c r="K257" s="388" t="s">
        <v>150</v>
      </c>
      <c r="L257" s="388"/>
      <c r="M257" s="100" t="s">
        <v>183</v>
      </c>
    </row>
    <row r="258" spans="1:13" ht="15.75" thickBot="1">
      <c r="A258" s="200" t="s">
        <v>151</v>
      </c>
      <c r="B258" s="200" t="s">
        <v>152</v>
      </c>
      <c r="H258" s="28"/>
      <c r="I258" s="100"/>
      <c r="J258" s="203"/>
      <c r="K258" s="94" t="s">
        <v>153</v>
      </c>
      <c r="L258" s="94">
        <v>0.71</v>
      </c>
      <c r="M258" s="7">
        <v>9.5249999999999986</v>
      </c>
    </row>
    <row r="259" spans="1:13">
      <c r="A259" s="365"/>
      <c r="B259" s="233" t="s">
        <v>92</v>
      </c>
      <c r="C259" s="232">
        <v>1</v>
      </c>
      <c r="D259" s="232">
        <v>1</v>
      </c>
      <c r="E259" s="232">
        <v>1</v>
      </c>
      <c r="F259" s="232">
        <v>1</v>
      </c>
      <c r="H259" s="28"/>
      <c r="I259" s="100"/>
      <c r="J259" s="203"/>
      <c r="K259" s="94" t="s">
        <v>154</v>
      </c>
      <c r="L259" s="94">
        <v>1.27</v>
      </c>
      <c r="M259" s="7">
        <v>12.7</v>
      </c>
    </row>
    <row r="260" spans="1:13">
      <c r="A260" s="365"/>
      <c r="B260" s="168" t="s">
        <v>155</v>
      </c>
      <c r="C260" s="356">
        <f>($C$30)-(C$283^2*C$284)*24</f>
        <v>-1224.5999999999999</v>
      </c>
      <c r="D260" s="241">
        <f>($C$30)-(D$283^2*D$284)*24</f>
        <v>-1224.5999999999999</v>
      </c>
      <c r="E260" s="241">
        <f>($C$30)-(E$283^2*E$284)*24</f>
        <v>-1224.5999999999999</v>
      </c>
      <c r="F260" s="241">
        <f>($C$30)-(F$283^2*F$284)*24</f>
        <v>-1224.5999999999999</v>
      </c>
      <c r="G260" s="18" t="s">
        <v>41</v>
      </c>
      <c r="H260" s="28"/>
      <c r="I260" s="100"/>
      <c r="J260" s="203"/>
      <c r="K260" s="94" t="s">
        <v>145</v>
      </c>
      <c r="L260" s="94">
        <v>1.99</v>
      </c>
      <c r="M260" s="7">
        <v>15.875</v>
      </c>
    </row>
    <row r="261" spans="1:13">
      <c r="A261" s="365"/>
      <c r="B261" s="78" t="s">
        <v>156</v>
      </c>
      <c r="C261" s="356">
        <f>+MAX(ABS(D30),ABS(E30))</f>
        <v>34.5</v>
      </c>
      <c r="D261" s="241">
        <f>+SQRT(ABS($D$30)^2+ABS($E$30)^2)</f>
        <v>38.913365313218542</v>
      </c>
      <c r="E261" s="241">
        <f>+SQRT(ABS($D$30)^2+ABS($E$30)^2)</f>
        <v>38.913365313218542</v>
      </c>
      <c r="F261" s="241">
        <f>+SQRT(ABS($D$30)^2+ABS($E$30)^2)</f>
        <v>38.913365313218542</v>
      </c>
      <c r="G261" s="18" t="s">
        <v>41</v>
      </c>
      <c r="H261" s="28"/>
      <c r="I261" s="100"/>
      <c r="J261" s="203"/>
      <c r="K261" s="94" t="s">
        <v>157</v>
      </c>
      <c r="L261" s="94">
        <v>2.84</v>
      </c>
      <c r="M261" s="7">
        <v>19.049999999999997</v>
      </c>
    </row>
    <row r="262" spans="1:13">
      <c r="A262" s="365"/>
      <c r="B262" s="78" t="s">
        <v>158</v>
      </c>
      <c r="C262" s="356">
        <f>+$C$261*C$284</f>
        <v>141.44999999999999</v>
      </c>
      <c r="D262" s="241">
        <f>+$C$261*D$284</f>
        <v>141.44999999999999</v>
      </c>
      <c r="E262" s="241">
        <f>+$C$261*E$284</f>
        <v>141.44999999999999</v>
      </c>
      <c r="F262" s="241">
        <f>+$C$261*F$284</f>
        <v>141.44999999999999</v>
      </c>
      <c r="G262" s="18" t="s">
        <v>77</v>
      </c>
      <c r="H262" s="28"/>
      <c r="I262" s="100"/>
      <c r="J262" s="203"/>
      <c r="K262" s="94" t="s">
        <v>159</v>
      </c>
      <c r="L262" s="94">
        <v>3.85</v>
      </c>
      <c r="M262" s="7">
        <v>22.224999999999998</v>
      </c>
    </row>
    <row r="263" spans="1:13">
      <c r="A263" s="365"/>
      <c r="B263" s="211"/>
      <c r="C263" s="215"/>
      <c r="D263" s="215"/>
      <c r="E263" s="215"/>
      <c r="F263" s="215"/>
      <c r="G263" s="165"/>
      <c r="H263" s="28"/>
      <c r="I263" s="100"/>
      <c r="J263" s="203"/>
      <c r="K263" s="94" t="s">
        <v>160</v>
      </c>
      <c r="L263" s="94">
        <v>5.0999999999999996</v>
      </c>
      <c r="M263" s="7">
        <v>25.4</v>
      </c>
    </row>
    <row r="264" spans="1:13">
      <c r="A264" s="365"/>
      <c r="B264" s="233" t="s">
        <v>92</v>
      </c>
      <c r="C264" s="232">
        <v>2</v>
      </c>
      <c r="D264" s="232">
        <v>2</v>
      </c>
      <c r="E264" s="232">
        <v>2</v>
      </c>
      <c r="F264" s="232">
        <v>2</v>
      </c>
      <c r="G264" s="213"/>
      <c r="H264" s="28"/>
      <c r="I264" s="100"/>
      <c r="J264" s="203"/>
    </row>
    <row r="265" spans="1:13">
      <c r="A265" s="365"/>
      <c r="B265" s="168" t="s">
        <v>155</v>
      </c>
      <c r="C265" s="356">
        <f xml:space="preserve">    $C$31    -(C$283^2*C$284)*24</f>
        <v>950.4</v>
      </c>
      <c r="D265" s="241">
        <f xml:space="preserve">    $C$31    -(D$283^2*D$284)*24</f>
        <v>950.4</v>
      </c>
      <c r="E265" s="241">
        <f xml:space="preserve">    $C$31    -(E$283^2*E$284)*24</f>
        <v>950.4</v>
      </c>
      <c r="F265" s="241">
        <f xml:space="preserve">    $C$31    -(F$283^2*F$284)*24</f>
        <v>950.4</v>
      </c>
      <c r="G265" s="18" t="s">
        <v>41</v>
      </c>
      <c r="H265" s="28"/>
      <c r="I265" s="100"/>
      <c r="J265" s="203"/>
    </row>
    <row r="266" spans="1:13">
      <c r="A266" s="365"/>
      <c r="B266" s="78" t="s">
        <v>156</v>
      </c>
      <c r="C266" s="356">
        <f>+MAX(ABS(D31),ABS(E31))</f>
        <v>22.5</v>
      </c>
      <c r="D266" s="241">
        <f>+SQRT(ABS($D$31)^2+ABS($E$31)^2)</f>
        <v>27.041634565979919</v>
      </c>
      <c r="E266" s="241">
        <f>+SQRT(ABS($D$31)^2+ABS($E$31)^2)</f>
        <v>27.041634565979919</v>
      </c>
      <c r="F266" s="241">
        <f>+SQRT(ABS($D$31)^2+ABS($E$31)^2)</f>
        <v>27.041634565979919</v>
      </c>
      <c r="G266" s="18" t="s">
        <v>41</v>
      </c>
      <c r="H266" s="28"/>
      <c r="I266" s="100"/>
      <c r="J266" s="203"/>
    </row>
    <row r="267" spans="1:13">
      <c r="A267" s="365"/>
      <c r="B267" s="78" t="s">
        <v>158</v>
      </c>
      <c r="C267" s="356">
        <f>+$C$266*C$284</f>
        <v>92.249999999999986</v>
      </c>
      <c r="D267" s="241">
        <f>+$C$266*D$284</f>
        <v>92.249999999999986</v>
      </c>
      <c r="E267" s="241">
        <f>+$C$266*E$284</f>
        <v>92.249999999999986</v>
      </c>
      <c r="F267" s="241">
        <f>+$C$266*F$284</f>
        <v>92.249999999999986</v>
      </c>
      <c r="G267" s="18" t="s">
        <v>77</v>
      </c>
      <c r="H267" s="28"/>
      <c r="I267" s="100"/>
      <c r="J267" s="203"/>
    </row>
    <row r="268" spans="1:13">
      <c r="A268" s="365"/>
      <c r="B268" s="31"/>
      <c r="C268" s="215"/>
      <c r="D268" s="215"/>
      <c r="E268" s="215"/>
      <c r="F268" s="215"/>
      <c r="G268" s="165"/>
      <c r="H268" s="28"/>
      <c r="I268" s="100"/>
      <c r="J268" s="203"/>
    </row>
    <row r="269" spans="1:13">
      <c r="A269" s="365"/>
      <c r="B269" s="233" t="s">
        <v>92</v>
      </c>
      <c r="C269" s="232">
        <v>3</v>
      </c>
      <c r="D269" s="232">
        <v>3</v>
      </c>
      <c r="E269" s="232">
        <v>3</v>
      </c>
      <c r="F269" s="232">
        <v>3</v>
      </c>
      <c r="G269" s="213"/>
      <c r="H269" s="28"/>
      <c r="I269" s="100"/>
      <c r="J269" s="203"/>
    </row>
    <row r="270" spans="1:13">
      <c r="A270" s="365"/>
      <c r="B270" s="78" t="s">
        <v>155</v>
      </c>
      <c r="C270" s="356">
        <f>$C$32-(C$283^2*C$284)*24</f>
        <v>-24.599999999999998</v>
      </c>
      <c r="D270" s="241">
        <f>$C$32-(D$283^2*D$284)*24</f>
        <v>-24.599999999999998</v>
      </c>
      <c r="E270" s="241">
        <f>$C$32-(E$283^2*E$284)*24</f>
        <v>-24.599999999999998</v>
      </c>
      <c r="F270" s="241">
        <f>$C$32-(F$283^2*F$284)*24</f>
        <v>-24.599999999999998</v>
      </c>
      <c r="G270" s="18" t="s">
        <v>41</v>
      </c>
      <c r="H270" s="28"/>
      <c r="I270" s="100"/>
      <c r="J270" s="203"/>
    </row>
    <row r="271" spans="1:13">
      <c r="A271" s="365"/>
      <c r="B271" s="78" t="s">
        <v>156</v>
      </c>
      <c r="C271" s="356">
        <f>+MAX(ABS(D32),ABS(E32))</f>
        <v>45</v>
      </c>
      <c r="D271" s="241">
        <f>+SQRT(ABS($D$32)^2+ABS($E$32)^2)</f>
        <v>54.083269131959838</v>
      </c>
      <c r="E271" s="241">
        <f>+SQRT(ABS($D$32)^2+ABS($E$32)^2)</f>
        <v>54.083269131959838</v>
      </c>
      <c r="F271" s="241">
        <f>+SQRT(ABS($D$32)^2+ABS($E$32)^2)</f>
        <v>54.083269131959838</v>
      </c>
      <c r="G271" s="18" t="s">
        <v>41</v>
      </c>
      <c r="H271" s="28"/>
      <c r="I271" s="100"/>
      <c r="J271" s="203"/>
    </row>
    <row r="272" spans="1:13">
      <c r="A272" s="365"/>
      <c r="B272" s="78" t="s">
        <v>158</v>
      </c>
      <c r="C272" s="356">
        <f>+$C$271*C$284</f>
        <v>184.49999999999997</v>
      </c>
      <c r="D272" s="241">
        <f>+$C$271*D$284</f>
        <v>184.49999999999997</v>
      </c>
      <c r="E272" s="241">
        <f>+$C$271*E$284</f>
        <v>184.49999999999997</v>
      </c>
      <c r="F272" s="241">
        <f>+$C$271*F$284</f>
        <v>184.49999999999997</v>
      </c>
      <c r="G272" s="18" t="s">
        <v>77</v>
      </c>
      <c r="H272" s="28"/>
      <c r="I272" s="100"/>
      <c r="J272" s="203"/>
    </row>
    <row r="273" spans="1:10">
      <c r="A273" s="365"/>
      <c r="B273" s="211"/>
      <c r="C273" s="216"/>
      <c r="D273" s="216"/>
      <c r="E273" s="216"/>
      <c r="F273" s="216"/>
      <c r="G273" s="165"/>
      <c r="H273" s="28"/>
      <c r="I273" s="100"/>
      <c r="J273" s="203"/>
    </row>
    <row r="274" spans="1:10">
      <c r="A274" s="365"/>
      <c r="B274" s="233" t="s">
        <v>92</v>
      </c>
      <c r="C274" s="232">
        <v>4</v>
      </c>
      <c r="D274" s="232">
        <v>4</v>
      </c>
      <c r="E274" s="232">
        <v>4</v>
      </c>
      <c r="F274" s="232">
        <v>4</v>
      </c>
      <c r="G274" s="213"/>
      <c r="H274" s="28"/>
      <c r="I274" s="100"/>
      <c r="J274" s="203"/>
    </row>
    <row r="275" spans="1:10">
      <c r="A275" s="365"/>
      <c r="B275" s="78" t="s">
        <v>155</v>
      </c>
      <c r="C275" s="356">
        <f>$C$33-(C$283^2*C$284)*24</f>
        <v>275.39999999999998</v>
      </c>
      <c r="D275" s="241">
        <f>$C$33-(D$283^2*D$284)*24</f>
        <v>275.39999999999998</v>
      </c>
      <c r="E275" s="241">
        <f>$C$33-(E$283^2*E$284)*24</f>
        <v>275.39999999999998</v>
      </c>
      <c r="F275" s="241">
        <f>$C$33-(F$283^2*F$284)*24</f>
        <v>275.39999999999998</v>
      </c>
      <c r="G275" s="18" t="s">
        <v>41</v>
      </c>
      <c r="H275" s="28"/>
      <c r="I275" s="100"/>
    </row>
    <row r="276" spans="1:10">
      <c r="A276" s="365"/>
      <c r="B276" s="78" t="s">
        <v>156</v>
      </c>
      <c r="C276" s="356">
        <f>+MAX(ABS(D33),ABS(E33))</f>
        <v>52.5</v>
      </c>
      <c r="D276" s="241">
        <f>+SQRT(ABS($D$33)^2+ABS($E$33)^2)</f>
        <v>54.600824169603889</v>
      </c>
      <c r="E276" s="241">
        <f>+SQRT(ABS($D$33)^2+ABS($E$33)^2)</f>
        <v>54.600824169603889</v>
      </c>
      <c r="F276" s="16">
        <f>+SQRT(ABS($D$33)^2+ABS($E$33)^2)</f>
        <v>54.600824169603889</v>
      </c>
      <c r="G276" s="18" t="s">
        <v>41</v>
      </c>
      <c r="H276" s="28"/>
      <c r="I276" s="100"/>
    </row>
    <row r="277" spans="1:10">
      <c r="A277" s="365"/>
      <c r="B277" s="78" t="s">
        <v>158</v>
      </c>
      <c r="C277" s="356">
        <f>+$C$276*C$284</f>
        <v>215.24999999999997</v>
      </c>
      <c r="D277" s="241">
        <f>+$C$276*D$284</f>
        <v>215.24999999999997</v>
      </c>
      <c r="E277" s="241">
        <f>+$C$276*E$284</f>
        <v>215.24999999999997</v>
      </c>
      <c r="F277" s="16">
        <f>+$C$276*F$284</f>
        <v>215.24999999999997</v>
      </c>
      <c r="G277" s="18" t="s">
        <v>77</v>
      </c>
      <c r="H277" s="28"/>
      <c r="I277" s="100"/>
    </row>
    <row r="278" spans="1:10" ht="15.75" thickBot="1">
      <c r="A278" s="365"/>
      <c r="H278" s="28"/>
      <c r="I278" s="100"/>
    </row>
    <row r="279" spans="1:10" ht="15.75" thickBot="1">
      <c r="A279" s="200" t="s">
        <v>161</v>
      </c>
      <c r="B279" s="250" t="s">
        <v>162</v>
      </c>
      <c r="C279" s="351"/>
      <c r="H279" s="28"/>
      <c r="I279" s="100"/>
      <c r="J279" s="203"/>
    </row>
    <row r="280" spans="1:10">
      <c r="A280" s="365"/>
      <c r="B280" s="164" t="s">
        <v>163</v>
      </c>
      <c r="C280" s="169">
        <f>+C$43</f>
        <v>3.5</v>
      </c>
      <c r="D280" s="5">
        <f>+D$43</f>
        <v>3.5</v>
      </c>
      <c r="E280" s="5">
        <f>+E$43</f>
        <v>3.5</v>
      </c>
      <c r="F280" s="5">
        <f>+F$43</f>
        <v>3.5</v>
      </c>
      <c r="G280" s="1" t="s">
        <v>50</v>
      </c>
      <c r="H280" s="28"/>
      <c r="I280" s="100"/>
      <c r="J280" s="203"/>
    </row>
    <row r="281" spans="1:10">
      <c r="A281" s="365"/>
      <c r="B281" s="1" t="s">
        <v>51</v>
      </c>
      <c r="C281" s="5">
        <f>+C$40</f>
        <v>0.4</v>
      </c>
      <c r="D281" s="5">
        <f>+D$40</f>
        <v>0.4</v>
      </c>
      <c r="E281" s="5">
        <f>+E$40</f>
        <v>0.4</v>
      </c>
      <c r="F281" s="5">
        <f>+F$40</f>
        <v>0.4</v>
      </c>
      <c r="G281" s="1" t="s">
        <v>50</v>
      </c>
      <c r="H281" s="28"/>
      <c r="I281" s="100"/>
      <c r="J281" s="203"/>
    </row>
    <row r="282" spans="1:10">
      <c r="A282" s="365"/>
      <c r="B282" s="1" t="s">
        <v>164</v>
      </c>
      <c r="C282" s="5">
        <f>+C$38</f>
        <v>1</v>
      </c>
      <c r="D282" s="1">
        <f>+D$38</f>
        <v>1</v>
      </c>
      <c r="E282" s="1">
        <f>+E$38</f>
        <v>1</v>
      </c>
      <c r="F282" s="1">
        <f>+F$38</f>
        <v>1</v>
      </c>
      <c r="G282" s="1" t="s">
        <v>50</v>
      </c>
      <c r="H282" s="28"/>
      <c r="I282" s="100"/>
      <c r="J282" s="203"/>
    </row>
    <row r="283" spans="1:10">
      <c r="A283" s="365"/>
      <c r="B283" s="1" t="s">
        <v>326</v>
      </c>
      <c r="C283" s="5">
        <f>+C$39</f>
        <v>0.5</v>
      </c>
      <c r="D283" s="5">
        <f>+D$39</f>
        <v>0.5</v>
      </c>
      <c r="E283" s="5">
        <f>+E$39</f>
        <v>0.5</v>
      </c>
      <c r="F283" s="5">
        <f>+F$39</f>
        <v>0.5</v>
      </c>
      <c r="G283" s="1" t="s">
        <v>50</v>
      </c>
      <c r="H283" s="28"/>
      <c r="I283" s="100"/>
      <c r="J283" s="203"/>
    </row>
    <row r="284" spans="1:10">
      <c r="A284" s="365"/>
      <c r="B284" s="1" t="s">
        <v>165</v>
      </c>
      <c r="C284" s="5">
        <f>+C280-C281+C282</f>
        <v>4.0999999999999996</v>
      </c>
      <c r="D284" s="1">
        <f>+D280-D281+D282</f>
        <v>4.0999999999999996</v>
      </c>
      <c r="E284" s="1">
        <f>+E280-E281+E282</f>
        <v>4.0999999999999996</v>
      </c>
      <c r="F284" s="5">
        <f>+F280-F281+F282</f>
        <v>4.0999999999999996</v>
      </c>
      <c r="G284" s="1" t="s">
        <v>50</v>
      </c>
      <c r="H284" s="28"/>
      <c r="I284" s="100"/>
      <c r="J284" s="203"/>
    </row>
    <row r="285" spans="1:10">
      <c r="A285" s="365"/>
      <c r="B285" s="1" t="s">
        <v>166</v>
      </c>
      <c r="C285" s="1">
        <f>+$C$16</f>
        <v>21</v>
      </c>
      <c r="D285" s="1">
        <f>+$C$16</f>
        <v>21</v>
      </c>
      <c r="E285" s="1">
        <f>+$C$16</f>
        <v>21</v>
      </c>
      <c r="F285" s="1">
        <f>+$C$16</f>
        <v>21</v>
      </c>
      <c r="G285" s="1" t="s">
        <v>32</v>
      </c>
      <c r="H285" s="28"/>
      <c r="I285" s="100"/>
      <c r="J285" s="203"/>
    </row>
    <row r="286" spans="1:10">
      <c r="A286" s="365"/>
      <c r="B286" s="1" t="s">
        <v>167</v>
      </c>
      <c r="C286" s="1">
        <f>+$C$15</f>
        <v>420</v>
      </c>
      <c r="D286" s="1">
        <f>+$C$15</f>
        <v>420</v>
      </c>
      <c r="E286" s="1">
        <f>+$C$15</f>
        <v>420</v>
      </c>
      <c r="F286" s="1">
        <f>+$C$15</f>
        <v>420</v>
      </c>
      <c r="G286" s="1" t="s">
        <v>32</v>
      </c>
      <c r="H286" s="28"/>
      <c r="I286" s="100"/>
      <c r="J286" s="203"/>
    </row>
    <row r="287" spans="1:10">
      <c r="A287" s="365"/>
      <c r="B287" s="1" t="s">
        <v>168</v>
      </c>
      <c r="C287" s="3">
        <f>4700*SQRT(C285)*1000</f>
        <v>21538105.766292445</v>
      </c>
      <c r="D287" s="3">
        <f>4700*SQRT(D285)*1000</f>
        <v>21538105.766292445</v>
      </c>
      <c r="E287" s="3">
        <f>4700*SQRT(E285)*1000</f>
        <v>21538105.766292445</v>
      </c>
      <c r="F287" s="3">
        <f>4700*SQRT(F285)*1000</f>
        <v>21538105.766292445</v>
      </c>
      <c r="G287" s="1" t="s">
        <v>13</v>
      </c>
      <c r="H287" s="28"/>
      <c r="I287" s="100"/>
      <c r="J287" s="203"/>
    </row>
    <row r="288" spans="1:10" ht="17.25">
      <c r="A288" s="365"/>
      <c r="B288" s="1" t="s">
        <v>169</v>
      </c>
      <c r="C288" s="6">
        <f>C283^4/12</f>
        <v>5.208333333333333E-3</v>
      </c>
      <c r="D288" s="6">
        <f>D283^4/12</f>
        <v>5.208333333333333E-3</v>
      </c>
      <c r="E288" s="6">
        <f>E283^4/12</f>
        <v>5.208333333333333E-3</v>
      </c>
      <c r="F288" s="6">
        <f>F283^4/12</f>
        <v>5.208333333333333E-3</v>
      </c>
      <c r="G288" s="1" t="s">
        <v>170</v>
      </c>
      <c r="H288" s="28"/>
      <c r="I288" s="100"/>
      <c r="J288" s="203"/>
    </row>
    <row r="289" spans="1:10" ht="15.75" thickBot="1">
      <c r="A289" s="252"/>
      <c r="H289" s="28"/>
      <c r="I289" s="100"/>
      <c r="J289" s="203"/>
    </row>
    <row r="290" spans="1:10" ht="15.75" thickBot="1">
      <c r="A290" s="200" t="s">
        <v>171</v>
      </c>
      <c r="B290" s="200" t="s">
        <v>172</v>
      </c>
      <c r="H290" s="28"/>
      <c r="I290" s="100"/>
      <c r="J290" s="203"/>
    </row>
    <row r="291" spans="1:10">
      <c r="A291" s="365"/>
      <c r="B291" s="164" t="s">
        <v>173</v>
      </c>
      <c r="C291" s="356">
        <f>0.3*C283</f>
        <v>0.15</v>
      </c>
      <c r="D291" s="5">
        <f>0.3*D283</f>
        <v>0.15</v>
      </c>
      <c r="E291" s="5">
        <f>0.3*E283</f>
        <v>0.15</v>
      </c>
      <c r="F291" s="5">
        <f>0.3*F283</f>
        <v>0.15</v>
      </c>
      <c r="G291" s="18" t="s">
        <v>50</v>
      </c>
      <c r="H291" s="28"/>
      <c r="I291" s="100"/>
      <c r="J291" s="203"/>
    </row>
    <row r="292" spans="1:10">
      <c r="A292" s="365"/>
      <c r="B292" s="1" t="s">
        <v>174</v>
      </c>
      <c r="C292" s="356">
        <v>2.1</v>
      </c>
      <c r="D292" s="5">
        <v>2.1</v>
      </c>
      <c r="E292" s="5">
        <v>2.1</v>
      </c>
      <c r="F292" s="5">
        <v>2.1</v>
      </c>
      <c r="G292" s="217"/>
      <c r="H292" s="28"/>
      <c r="I292" s="100"/>
      <c r="J292" s="203"/>
    </row>
    <row r="293" spans="1:10">
      <c r="A293" s="365"/>
      <c r="B293" s="1" t="s">
        <v>175</v>
      </c>
      <c r="C293" s="356">
        <f>+C292*C284/C291</f>
        <v>57.4</v>
      </c>
      <c r="D293" s="5">
        <f>+D292*D284/D291</f>
        <v>57.4</v>
      </c>
      <c r="E293" s="5">
        <f>+E292*E284/E291</f>
        <v>57.4</v>
      </c>
      <c r="F293" s="5">
        <f>+F292*F284/F291</f>
        <v>57.4</v>
      </c>
      <c r="G293" s="194"/>
      <c r="H293" s="228"/>
      <c r="I293" s="100"/>
      <c r="J293" s="203"/>
    </row>
    <row r="294" spans="1:10">
      <c r="A294" s="365"/>
      <c r="B294" s="1" t="s">
        <v>321</v>
      </c>
      <c r="C294" s="16" t="str">
        <f>+IF(C293&gt;22,"Revisar","OK")</f>
        <v>Revisar</v>
      </c>
      <c r="D294" s="16" t="str">
        <f>+IF(D293&gt;22,"Revisar","OK")</f>
        <v>Revisar</v>
      </c>
      <c r="E294" s="16" t="str">
        <f>+IF(E293&gt;22,"Revisar","OK")</f>
        <v>Revisar</v>
      </c>
      <c r="F294" s="16" t="str">
        <f>+IF(F293&gt;22,"Revisar","OK")</f>
        <v>Revisar</v>
      </c>
      <c r="G294" s="194"/>
      <c r="H294" s="228"/>
      <c r="I294" s="100"/>
      <c r="J294" s="203"/>
    </row>
    <row r="295" spans="1:10">
      <c r="A295" s="365"/>
      <c r="B295" s="171" t="s">
        <v>176</v>
      </c>
      <c r="C295" s="1">
        <v>0.6</v>
      </c>
      <c r="D295" s="1">
        <v>0.6</v>
      </c>
      <c r="E295" s="1">
        <v>0.6</v>
      </c>
      <c r="F295" s="1">
        <v>0.6</v>
      </c>
      <c r="G295" s="192"/>
      <c r="H295" s="28"/>
      <c r="I295" s="100"/>
      <c r="J295" s="203"/>
    </row>
    <row r="296" spans="1:10" ht="17.25">
      <c r="A296" s="365"/>
      <c r="B296" s="1" t="s">
        <v>320</v>
      </c>
      <c r="C296" s="3">
        <f>0.4*C$287*C$288/(1+C$295)</f>
        <v>28044.408549859952</v>
      </c>
      <c r="D296" s="3">
        <f>0.4*D$287*D$288/(1+D$295)</f>
        <v>28044.408549859952</v>
      </c>
      <c r="E296" s="3">
        <f>0.4*E$287*E$288/(1+E$295)</f>
        <v>28044.408549859952</v>
      </c>
      <c r="F296" s="3">
        <f>0.4*F$287*F$288/(1+F$295)</f>
        <v>28044.408549859952</v>
      </c>
      <c r="G296" s="18" t="s">
        <v>177</v>
      </c>
      <c r="H296" s="28"/>
      <c r="I296" s="100"/>
      <c r="J296" s="203"/>
    </row>
    <row r="297" spans="1:10" ht="15.75" thickBot="1">
      <c r="A297" s="252"/>
      <c r="H297" s="28"/>
      <c r="I297" s="100"/>
      <c r="J297" s="203"/>
    </row>
    <row r="298" spans="1:10" ht="15.75" thickBot="1">
      <c r="A298" s="200" t="s">
        <v>178</v>
      </c>
      <c r="B298" s="250" t="s">
        <v>179</v>
      </c>
      <c r="C298" s="351"/>
      <c r="H298" s="28"/>
      <c r="I298" s="100"/>
      <c r="J298" s="203"/>
    </row>
    <row r="299" spans="1:10">
      <c r="A299" s="365"/>
      <c r="B299" s="164" t="s">
        <v>310</v>
      </c>
      <c r="C299" s="169">
        <v>1</v>
      </c>
      <c r="D299" s="5">
        <v>1</v>
      </c>
      <c r="E299" s="5">
        <v>1</v>
      </c>
      <c r="F299" s="5">
        <v>1</v>
      </c>
      <c r="H299" s="28"/>
      <c r="I299" s="100"/>
      <c r="J299" s="203"/>
    </row>
    <row r="300" spans="1:10">
      <c r="A300" s="365"/>
      <c r="B300" s="1" t="s">
        <v>311</v>
      </c>
      <c r="C300" s="3">
        <f>PI()^2*C296/(C292*C284)^2</f>
        <v>3733.7026477011423</v>
      </c>
      <c r="D300" s="3">
        <f>PI()^2*D296/(D292*D284)^2</f>
        <v>3733.7026477011423</v>
      </c>
      <c r="E300" s="3">
        <f>PI()^2*E296/(E292*E284)^2</f>
        <v>3733.7026477011423</v>
      </c>
      <c r="F300" s="3">
        <f>PI()^2*F296/(F292*F284)^2</f>
        <v>3733.7026477011423</v>
      </c>
      <c r="G300" s="18" t="s">
        <v>41</v>
      </c>
      <c r="H300" s="28"/>
      <c r="I300" s="100"/>
      <c r="J300" s="203"/>
    </row>
    <row r="301" spans="1:10">
      <c r="A301" s="365"/>
      <c r="B301" s="1" t="s">
        <v>312</v>
      </c>
      <c r="C301" s="1">
        <v>0.75</v>
      </c>
      <c r="D301" s="1">
        <v>0.75</v>
      </c>
      <c r="E301" s="1">
        <v>0.75</v>
      </c>
      <c r="F301" s="1">
        <v>0.75</v>
      </c>
      <c r="G301" s="217"/>
      <c r="H301" s="28"/>
      <c r="I301" s="100"/>
      <c r="J301" s="203"/>
    </row>
    <row r="302" spans="1:10">
      <c r="A302" s="365"/>
      <c r="B302" s="1" t="s">
        <v>334</v>
      </c>
      <c r="C302" s="356">
        <f>+IF(C260&lt;0,C$299/(1-ABS(C260)/(0.75*C$300)),"No Aplica")</f>
        <v>1.7771897483144443</v>
      </c>
      <c r="D302" s="16">
        <f>+IF(D260&lt;0,D$299/(1-ABS(D260)/(0.75*D$300)),"No Aplica")</f>
        <v>1.7771897483144443</v>
      </c>
      <c r="E302" s="16">
        <f>+IF(E260&lt;0,E$299/(1-ABS(E260)/(0.75*E$300)),"No Aplica")</f>
        <v>1.7771897483144443</v>
      </c>
      <c r="F302" s="16">
        <f>+IF(F260&lt;0,F$299/(1-ABS(F260)/(0.75*F$300)),"No Aplica")</f>
        <v>1.7771897483144443</v>
      </c>
      <c r="G302" s="194"/>
      <c r="H302" s="28"/>
      <c r="I302" s="100"/>
      <c r="J302" s="203"/>
    </row>
    <row r="303" spans="1:10">
      <c r="A303" s="365"/>
      <c r="B303" s="1" t="s">
        <v>335</v>
      </c>
      <c r="C303" s="16" t="str">
        <f>+IF(C265&lt;0,C$299/(1-ABS(C265)/(0.75*C$300)),"No Aplica")</f>
        <v>No Aplica</v>
      </c>
      <c r="D303" s="16" t="str">
        <f>+IF(D265&lt;0,D$299/(1-ABS(D265)/(0.75*D$300)),"No Aplica")</f>
        <v>No Aplica</v>
      </c>
      <c r="E303" s="16" t="str">
        <f>+IF(E265&lt;0,E$299/(1-ABS(E265)/(0.75*E$300)),"No Aplica")</f>
        <v>No Aplica</v>
      </c>
      <c r="F303" s="16" t="str">
        <f>+IF(F265&lt;0,F$299/(1-ABS(F265)/(0.75*F$300)),"No Aplica")</f>
        <v>No Aplica</v>
      </c>
      <c r="G303" s="194"/>
      <c r="H303" s="28"/>
      <c r="I303" s="100"/>
      <c r="J303" s="203"/>
    </row>
    <row r="304" spans="1:10">
      <c r="A304" s="365"/>
      <c r="B304" s="1" t="s">
        <v>336</v>
      </c>
      <c r="C304" s="16">
        <f>+IF(C270&lt;0,C$299/(1-ABS(C270)/(0.75*C$300)),"No Aplica")</f>
        <v>1.008862702730204</v>
      </c>
      <c r="D304" s="16">
        <f>+IF(D270&lt;0,D$299/(1-ABS(D270)/(0.75*D$300)),"No Aplica")</f>
        <v>1.008862702730204</v>
      </c>
      <c r="E304" s="16">
        <f>+IF(E270&lt;0,E$299/(1-ABS(E270)/(0.75*E$300)),"No Aplica")</f>
        <v>1.008862702730204</v>
      </c>
      <c r="F304" s="16">
        <f>+IF(F270&lt;0,F$299/(1-ABS(F270)/(0.75*F$300)),"No Aplica")</f>
        <v>1.008862702730204</v>
      </c>
      <c r="G304" s="239"/>
      <c r="H304" s="28"/>
      <c r="I304" s="100"/>
      <c r="J304" s="203"/>
    </row>
    <row r="305" spans="1:10">
      <c r="A305" s="365"/>
      <c r="B305" s="1" t="s">
        <v>337</v>
      </c>
      <c r="C305" s="16" t="str">
        <f>+IF(C275&lt;0,C$299/(1-ABS(C275)/(0.75*C$300)),"No Aplica")</f>
        <v>No Aplica</v>
      </c>
      <c r="D305" s="16" t="str">
        <f>+IF(D275&lt;0,D$299/(1-ABS(D275)/(0.75*D$300)),"No Aplica")</f>
        <v>No Aplica</v>
      </c>
      <c r="E305" s="16" t="str">
        <f>+IF(E275&lt;0,E$299/(1-ABS(E275)/(0.75*E$300)),"No Aplica")</f>
        <v>No Aplica</v>
      </c>
      <c r="F305" s="16" t="str">
        <f>+IF(F275&lt;0,F$299/(1-ABS(F275)/(0.75*F$300)),"No Aplica")</f>
        <v>No Aplica</v>
      </c>
      <c r="G305" s="194"/>
      <c r="H305" s="28"/>
      <c r="I305" s="100"/>
      <c r="J305" s="203"/>
    </row>
    <row r="306" spans="1:10">
      <c r="A306" s="365"/>
      <c r="H306" s="28"/>
      <c r="I306" s="100"/>
      <c r="J306" s="203"/>
    </row>
    <row r="307" spans="1:10">
      <c r="A307" s="365"/>
      <c r="B307" s="233" t="s">
        <v>305</v>
      </c>
      <c r="C307" t="s">
        <v>444</v>
      </c>
      <c r="H307" s="28"/>
      <c r="I307" s="100"/>
      <c r="J307" s="203"/>
    </row>
    <row r="308" spans="1:10">
      <c r="A308" s="365"/>
      <c r="B308" s="164" t="s">
        <v>180</v>
      </c>
      <c r="C308" s="192"/>
      <c r="D308" s="213"/>
      <c r="E308" s="213"/>
      <c r="F308" s="213"/>
      <c r="G308" s="213"/>
      <c r="H308" s="28"/>
      <c r="I308" s="100"/>
      <c r="J308" s="203"/>
    </row>
    <row r="309" spans="1:10">
      <c r="A309" s="365"/>
      <c r="B309" s="167" t="s">
        <v>181</v>
      </c>
      <c r="C309" s="356">
        <f>+IF(C260&lt;0,C$302*C$262,C262)</f>
        <v>251.38348989907814</v>
      </c>
      <c r="D309" s="5">
        <f>+IF(D260&lt;0,D$302*D$262,D262)</f>
        <v>251.38348989907814</v>
      </c>
      <c r="E309" s="5">
        <f>+IF(E260&lt;0,E$302*E$262,E262)</f>
        <v>251.38348989907814</v>
      </c>
      <c r="F309" s="5">
        <f>+IF(F260&lt;0,F$302*F$262,F262)</f>
        <v>251.38348989907814</v>
      </c>
      <c r="G309" s="18" t="s">
        <v>77</v>
      </c>
      <c r="H309" s="28"/>
      <c r="I309" s="100"/>
      <c r="J309" s="203"/>
    </row>
    <row r="310" spans="1:10">
      <c r="A310" s="365"/>
      <c r="B310" s="1" t="s">
        <v>182</v>
      </c>
      <c r="C310" s="218"/>
      <c r="D310" s="218"/>
      <c r="E310" s="218"/>
      <c r="F310" s="218"/>
      <c r="G310" s="197"/>
      <c r="H310" s="28"/>
      <c r="I310" s="100"/>
      <c r="J310" s="203"/>
    </row>
    <row r="311" spans="1:10">
      <c r="A311" s="365"/>
      <c r="B311" s="167" t="s">
        <v>181</v>
      </c>
      <c r="C311" s="5">
        <f>+IF(C265&lt;0,C$302*C267,C267)</f>
        <v>92.249999999999986</v>
      </c>
      <c r="D311" s="5">
        <f>+IF(D265&lt;0,D$302*D267,D267)</f>
        <v>92.249999999999986</v>
      </c>
      <c r="E311" s="5">
        <f>+IF(E265&lt;0,E$302*E267,E267)</f>
        <v>92.249999999999986</v>
      </c>
      <c r="F311" s="5">
        <f>+IF(F265&lt;0,F$302*F267,F267)</f>
        <v>92.249999999999986</v>
      </c>
      <c r="G311" s="18" t="s">
        <v>77</v>
      </c>
      <c r="H311" s="28"/>
      <c r="I311" s="100"/>
      <c r="J311" s="203"/>
    </row>
    <row r="312" spans="1:10">
      <c r="A312" s="365"/>
      <c r="B312" s="1" t="s">
        <v>346</v>
      </c>
      <c r="C312" s="218"/>
      <c r="D312" s="218"/>
      <c r="E312" s="218"/>
      <c r="F312" s="218"/>
      <c r="G312" s="197"/>
      <c r="H312" s="28"/>
      <c r="I312" s="100"/>
      <c r="J312" s="203"/>
    </row>
    <row r="313" spans="1:10">
      <c r="A313" s="365"/>
      <c r="B313" s="167" t="s">
        <v>181</v>
      </c>
      <c r="C313" s="5">
        <f>+IF(C270&lt;0,C$304*C$272,C272)</f>
        <v>186.13516865372259</v>
      </c>
      <c r="D313" s="5">
        <f>+IF(D270&lt;0,D$304*D$272,D272)</f>
        <v>186.13516865372259</v>
      </c>
      <c r="E313" s="5">
        <f>+IF(E270&lt;0,E$304*E$272,E272)</f>
        <v>186.13516865372259</v>
      </c>
      <c r="F313" s="5">
        <f>+IF(F270&lt;0,F$304*F$272,F272)</f>
        <v>186.13516865372259</v>
      </c>
      <c r="G313" s="18" t="s">
        <v>77</v>
      </c>
      <c r="H313" s="28"/>
      <c r="I313" s="100"/>
      <c r="J313" s="203"/>
    </row>
    <row r="314" spans="1:10">
      <c r="A314" s="365"/>
      <c r="B314" s="1" t="s">
        <v>347</v>
      </c>
      <c r="C314" s="218"/>
      <c r="D314" s="218"/>
      <c r="E314" s="218"/>
      <c r="F314" s="218"/>
      <c r="G314" s="197"/>
      <c r="H314" s="28"/>
      <c r="I314" s="100"/>
      <c r="J314" s="203"/>
    </row>
    <row r="315" spans="1:10">
      <c r="A315" s="365"/>
      <c r="B315" s="167" t="s">
        <v>181</v>
      </c>
      <c r="C315" s="5">
        <f>+IF(C275&lt;0,C$305*C277,C277)</f>
        <v>215.24999999999997</v>
      </c>
      <c r="D315" s="5">
        <f>+IF(D275&lt;0,D$305*D277,D277)</f>
        <v>215.24999999999997</v>
      </c>
      <c r="E315" s="5">
        <f>+IF(E275&lt;0,E$305*E277,E277)</f>
        <v>215.24999999999997</v>
      </c>
      <c r="F315" s="5">
        <f>+IF(F275&lt;0,F$305*F277,F277)</f>
        <v>215.24999999999997</v>
      </c>
      <c r="G315" s="18" t="s">
        <v>77</v>
      </c>
      <c r="H315" s="28"/>
      <c r="I315" s="100"/>
      <c r="J315" s="203"/>
    </row>
    <row r="316" spans="1:10">
      <c r="A316" s="365"/>
      <c r="B316" s="165"/>
      <c r="H316" s="28"/>
      <c r="I316" s="100"/>
      <c r="J316" s="203"/>
    </row>
    <row r="317" spans="1:10">
      <c r="A317" s="365"/>
      <c r="B317" s="233" t="s">
        <v>306</v>
      </c>
      <c r="C317" t="s">
        <v>445</v>
      </c>
      <c r="H317" s="28"/>
      <c r="I317" s="100"/>
      <c r="J317" s="203"/>
    </row>
    <row r="318" spans="1:10">
      <c r="A318" s="365"/>
      <c r="B318" s="164" t="s">
        <v>338</v>
      </c>
      <c r="C318" s="356">
        <f>+C$261*C$284^3/(3*C$296)*1000</f>
        <v>28.262015174641927</v>
      </c>
      <c r="D318" s="7">
        <f>+D$261*D$284^3/(3*D$296)*1000</f>
        <v>31.877394810972966</v>
      </c>
      <c r="E318" s="7">
        <f>+E$261*E$284^3/(3*E$296)*1000</f>
        <v>31.877394810972966</v>
      </c>
      <c r="F318" s="7">
        <f>+F$261*F$284^3/(3*F$296)*1000</f>
        <v>31.877394810972966</v>
      </c>
      <c r="G318" s="18" t="s">
        <v>183</v>
      </c>
      <c r="H318" s="28"/>
      <c r="I318" s="100"/>
      <c r="J318" s="203"/>
    </row>
    <row r="319" spans="1:10">
      <c r="A319" s="365"/>
      <c r="B319" s="164" t="s">
        <v>339</v>
      </c>
      <c r="C319" s="7">
        <f>+C$266*C$284^3/(3*C$296)*1000</f>
        <v>18.431749026940388</v>
      </c>
      <c r="D319" s="7">
        <f>+D$266*D$284^3/(3*D$296)*1000</f>
        <v>22.152205404372356</v>
      </c>
      <c r="E319" s="7">
        <f>+E$266*E$284^3/(3*E$296)*1000</f>
        <v>22.152205404372356</v>
      </c>
      <c r="F319" s="7">
        <f>+F$266*F$284^3/(3*F$296)*1000</f>
        <v>22.152205404372356</v>
      </c>
      <c r="G319" s="18" t="s">
        <v>183</v>
      </c>
      <c r="H319" s="28"/>
      <c r="I319" s="100"/>
      <c r="J319" s="203"/>
    </row>
    <row r="320" spans="1:10">
      <c r="A320" s="365"/>
      <c r="B320" s="164" t="s">
        <v>340</v>
      </c>
      <c r="C320" s="7">
        <f>+C$271*C$284^3/(3*C$296)*1000</f>
        <v>36.863498053880775</v>
      </c>
      <c r="D320" s="7">
        <f>+D$271*D$284^3/(3*D$296)*1000</f>
        <v>44.304410808744713</v>
      </c>
      <c r="E320" s="7">
        <f>+E$271*E$284^3/(3*E$296)*1000</f>
        <v>44.304410808744713</v>
      </c>
      <c r="F320" s="7">
        <f>+F$271*F$284^3/(3*F$296)*1000</f>
        <v>44.304410808744713</v>
      </c>
      <c r="G320" s="18" t="s">
        <v>183</v>
      </c>
      <c r="H320" s="28"/>
      <c r="I320" s="100"/>
      <c r="J320" s="203"/>
    </row>
    <row r="321" spans="1:39">
      <c r="A321" s="365"/>
      <c r="B321" s="164" t="s">
        <v>341</v>
      </c>
      <c r="C321" s="7">
        <f>+C$276*C$284^3/(3*C$296)*1000</f>
        <v>43.007414396194235</v>
      </c>
      <c r="D321" s="7">
        <f>+D$276*D$284^3/(3*D$296)*1000</f>
        <v>44.728386122588432</v>
      </c>
      <c r="E321" s="7">
        <f>+E$276*E$284^3/(3*E$296)*1000</f>
        <v>44.728386122588432</v>
      </c>
      <c r="F321" s="7">
        <f>+F$276*F$284^3/(3*F$296)*1000</f>
        <v>44.728386122588432</v>
      </c>
      <c r="G321" s="18" t="s">
        <v>183</v>
      </c>
      <c r="H321" s="28"/>
      <c r="I321" s="100"/>
      <c r="J321" s="203"/>
    </row>
    <row r="322" spans="1:39" ht="15.75" thickBot="1">
      <c r="A322" s="254"/>
      <c r="B322" s="50"/>
      <c r="C322" s="50"/>
      <c r="D322" s="50"/>
      <c r="E322" s="50"/>
      <c r="F322" s="50"/>
      <c r="G322" s="50"/>
      <c r="H322" s="127"/>
      <c r="I322" s="100"/>
      <c r="J322" s="203"/>
    </row>
    <row r="323" spans="1:39">
      <c r="A323" s="253"/>
      <c r="B323" s="279" t="s">
        <v>184</v>
      </c>
      <c r="C323" s="31" t="s">
        <v>443</v>
      </c>
      <c r="H323" s="28"/>
      <c r="I323" s="100"/>
      <c r="J323" s="203"/>
    </row>
    <row r="324" spans="1:39" ht="15.75" thickBot="1">
      <c r="A324" s="365"/>
      <c r="B324" s="164" t="s">
        <v>342</v>
      </c>
      <c r="C324" s="356">
        <f>+IF(C260&lt;0,-C$260*C$318/1000,"Noaplica")</f>
        <v>34.609663782866505</v>
      </c>
      <c r="D324" s="16">
        <f>+IF(D260&lt;0,-D$260*D$318/1000,"Noaplica")</f>
        <v>39.037057685517489</v>
      </c>
      <c r="E324" s="16">
        <f>+IF(E260&lt;0,-E$260*E$318/1000,"Noaplica")</f>
        <v>39.037057685517489</v>
      </c>
      <c r="F324" s="16">
        <f>+IF(F260&lt;0,-F$260*F$318/1000,"Noaplica")</f>
        <v>39.037057685517489</v>
      </c>
      <c r="G324" s="18" t="s">
        <v>77</v>
      </c>
      <c r="H324" s="28"/>
      <c r="I324" s="100"/>
      <c r="J324" s="203"/>
      <c r="M324" s="49" t="s">
        <v>185</v>
      </c>
    </row>
    <row r="325" spans="1:39">
      <c r="A325" s="365"/>
      <c r="B325" s="164" t="s">
        <v>343</v>
      </c>
      <c r="C325" s="16" t="str">
        <f>+IF(C265&lt;0,-C$265*C$319/1000,"No aplica")</f>
        <v>No aplica</v>
      </c>
      <c r="D325" s="16" t="str">
        <f>+IF(D265&lt;0,-D$265*D$319/1000,"No aplica")</f>
        <v>No aplica</v>
      </c>
      <c r="E325" s="16" t="str">
        <f>+IF(E265&lt;0,-E$265*E$319/1000,"No aplica")</f>
        <v>No aplica</v>
      </c>
      <c r="F325" s="16" t="str">
        <f>+IF(F265&lt;0,-F$265*F$319/1000,"No aplica")</f>
        <v>No aplica</v>
      </c>
      <c r="G325" s="18" t="s">
        <v>77</v>
      </c>
      <c r="H325" s="28"/>
      <c r="I325" s="100"/>
      <c r="J325" s="203"/>
      <c r="M325" s="37" t="s">
        <v>186</v>
      </c>
      <c r="N325" s="38">
        <v>21</v>
      </c>
      <c r="O325" s="39" t="s">
        <v>187</v>
      </c>
      <c r="P325" s="40">
        <f>+N326/0.85/N325</f>
        <v>23.529411764705884</v>
      </c>
      <c r="Q325" s="41" t="s">
        <v>188</v>
      </c>
      <c r="R325" s="42">
        <f>MAX(1.4/N326,0.25*N325^0.5/N326)</f>
        <v>3.3333333333333331E-3</v>
      </c>
    </row>
    <row r="326" spans="1:39">
      <c r="A326" s="365"/>
      <c r="B326" s="164" t="s">
        <v>344</v>
      </c>
      <c r="C326" s="16">
        <f>+IF(C270&lt;0,-C$270*C$320/1000,"No aplica")</f>
        <v>0.90684205212546698</v>
      </c>
      <c r="D326" s="16">
        <f>+IF(D270&lt;0,-D$270*D$320/1000,"No aplica")</f>
        <v>1.0898885058951198</v>
      </c>
      <c r="E326" s="16">
        <f>+IF(E270&lt;0,-E$270*E$320/1000,"No aplica")</f>
        <v>1.0898885058951198</v>
      </c>
      <c r="F326" s="16">
        <f>+IF(F270&lt;0,-F$270*F$320/1000,"No aplica")</f>
        <v>1.0898885058951198</v>
      </c>
      <c r="G326" s="18" t="s">
        <v>77</v>
      </c>
      <c r="H326" s="28"/>
      <c r="I326" s="100"/>
      <c r="J326" s="203"/>
      <c r="M326" s="43" t="s">
        <v>189</v>
      </c>
      <c r="N326" s="44">
        <v>420</v>
      </c>
      <c r="O326" s="45" t="s">
        <v>190</v>
      </c>
      <c r="P326" s="46">
        <f>IF(N325&lt;=28,0.7225,0.7225-($B$4-28)*0.04/7)</f>
        <v>0.72250000000000003</v>
      </c>
      <c r="Q326" s="45" t="s">
        <v>191</v>
      </c>
      <c r="R326" s="47">
        <f>P326*N325/N326*(600/(600+N326))</f>
        <v>2.1250000000000002E-2</v>
      </c>
    </row>
    <row r="327" spans="1:39">
      <c r="A327" s="365"/>
      <c r="B327" s="164" t="s">
        <v>345</v>
      </c>
      <c r="C327" s="16" t="str">
        <f>+IF(C275&lt;0,-C$275*C$321/1000,"No aplica")</f>
        <v>No aplica</v>
      </c>
      <c r="D327" s="16" t="str">
        <f>+IF(D275&lt;0,-D$275*D$321/1000,"No aplica")</f>
        <v>No aplica</v>
      </c>
      <c r="E327" s="16" t="str">
        <f>+IF(E275&lt;0,-E$275*E$321/1000,"No aplica")</f>
        <v>No aplica</v>
      </c>
      <c r="F327" s="16" t="str">
        <f>+IF(F275&lt;0,-F$275*F$321/1000,"No aplica")</f>
        <v>No aplica</v>
      </c>
      <c r="G327" s="18" t="s">
        <v>77</v>
      </c>
      <c r="H327" s="28"/>
      <c r="I327" s="100"/>
      <c r="J327" s="203"/>
      <c r="M327" s="48"/>
      <c r="O327" s="45" t="s">
        <v>192</v>
      </c>
      <c r="P327" s="46">
        <f>IF(N325&lt;=28,0.85,0.85-0.05*($B$4-28)/7)</f>
        <v>0.85</v>
      </c>
      <c r="Q327" s="45" t="s">
        <v>193</v>
      </c>
      <c r="R327" s="47">
        <f>0.75*R326</f>
        <v>1.59375E-2</v>
      </c>
    </row>
    <row r="328" spans="1:39">
      <c r="A328" s="365"/>
      <c r="H328" s="28"/>
      <c r="I328" s="100"/>
      <c r="J328" s="203"/>
      <c r="M328" s="48"/>
      <c r="O328" s="49"/>
      <c r="P328" s="49"/>
      <c r="Q328" s="45" t="s">
        <v>194</v>
      </c>
      <c r="R328" s="47">
        <f>R329*P326*N325/N326*600/(600+N326)</f>
        <v>1.59375E-2</v>
      </c>
    </row>
    <row r="329" spans="1:39" ht="15.75" thickBot="1">
      <c r="A329" s="365"/>
      <c r="B329" s="233" t="s">
        <v>195</v>
      </c>
      <c r="C329" s="31" t="s">
        <v>442</v>
      </c>
      <c r="H329" s="28"/>
      <c r="I329" s="100"/>
      <c r="J329" s="203"/>
      <c r="M329" s="50"/>
      <c r="N329" s="50"/>
      <c r="O329" s="51"/>
      <c r="P329" s="51"/>
      <c r="Q329" s="52" t="s">
        <v>196</v>
      </c>
      <c r="R329" s="53">
        <v>0.75</v>
      </c>
    </row>
    <row r="330" spans="1:39">
      <c r="A330" s="365"/>
      <c r="B330" s="164" t="s">
        <v>342</v>
      </c>
      <c r="C330" s="356">
        <f>+IF(C$294&lt;&gt;"OK",      IF(C260&lt;0,C309+C324,C262),C262)</f>
        <v>285.99315368194465</v>
      </c>
      <c r="D330" s="5">
        <f>+IF(D$294&lt;&gt;"OK",      IF(D260&lt;0,D309+D324,D262),D262)</f>
        <v>290.42054758459562</v>
      </c>
      <c r="E330" s="5">
        <f>+IF(E$294&lt;&gt;"OK",      IF(E260&lt;0,E309+E324,E262),E262)</f>
        <v>290.42054758459562</v>
      </c>
      <c r="F330" s="5">
        <f>+IF(F$294&lt;&gt;"OK",      IF(F260&lt;0,F309+F324,F262),F262)</f>
        <v>290.42054758459562</v>
      </c>
      <c r="G330" s="18" t="s">
        <v>77</v>
      </c>
      <c r="H330" s="28"/>
      <c r="I330" s="100"/>
      <c r="J330" s="203"/>
      <c r="M330" s="35" t="s">
        <v>197</v>
      </c>
      <c r="N330" s="36"/>
      <c r="O330" s="35"/>
      <c r="P330" s="35"/>
      <c r="Q330" s="45"/>
      <c r="R330" s="54"/>
    </row>
    <row r="331" spans="1:39">
      <c r="A331" s="365"/>
      <c r="B331" s="164" t="s">
        <v>343</v>
      </c>
      <c r="C331" s="356">
        <f>+IF(C$294&lt;&gt;"OK",      IF(C265&lt;0,C311+C325,C267), C267)</f>
        <v>92.249999999999986</v>
      </c>
      <c r="D331" s="5">
        <f>+IF(D$294&lt;&gt;"OK",      IF(D265&lt;0,D311+D325,D267), D267)</f>
        <v>92.249999999999986</v>
      </c>
      <c r="E331" s="5">
        <f>+IF(E$294&lt;&gt;"OK",      IF(E265&lt;0,E311+E325,E267), E267)</f>
        <v>92.249999999999986</v>
      </c>
      <c r="F331" s="5">
        <f>+IF(F$294&lt;&gt;"OK",      IF(F265&lt;0,F311+F325,F267), F267)</f>
        <v>92.249999999999986</v>
      </c>
      <c r="G331" s="18" t="s">
        <v>77</v>
      </c>
      <c r="H331" s="28"/>
      <c r="I331" s="100"/>
      <c r="J331" s="203"/>
      <c r="M331" s="55"/>
      <c r="O331" t="s">
        <v>198</v>
      </c>
      <c r="P331" s="49"/>
      <c r="Q331" s="45"/>
      <c r="R331" s="54"/>
    </row>
    <row r="332" spans="1:39">
      <c r="A332" s="365"/>
      <c r="B332" s="164" t="s">
        <v>344</v>
      </c>
      <c r="C332" s="356">
        <f>+IF(C$294&lt;&gt;"OK",      IF(C270&lt;0,C313+C326,C272), C272)</f>
        <v>187.04201070584804</v>
      </c>
      <c r="D332" s="5">
        <f>+IF(D$294&lt;&gt;"OK",      IF(D270&lt;0,D313+D326,D272), D272)</f>
        <v>187.22505715961771</v>
      </c>
      <c r="E332" s="5">
        <f>+IF(E$294&lt;&gt;"OK",      IF(E270&lt;0,E313+E326,E272), E272)</f>
        <v>187.22505715961771</v>
      </c>
      <c r="F332" s="5">
        <f>+IF(F$294&lt;&gt;"OK",      IF(F270&lt;0,F313+F326,F272), F272)</f>
        <v>187.22505715961771</v>
      </c>
      <c r="G332" s="18" t="s">
        <v>77</v>
      </c>
      <c r="H332" s="28"/>
      <c r="I332" s="100"/>
      <c r="J332" s="203"/>
      <c r="O332" t="s">
        <v>199</v>
      </c>
      <c r="P332" s="49"/>
      <c r="Q332" s="49"/>
      <c r="R332" s="49"/>
    </row>
    <row r="333" spans="1:39" ht="15.75" thickBot="1">
      <c r="A333" s="365"/>
      <c r="B333" s="164" t="s">
        <v>345</v>
      </c>
      <c r="C333" s="356">
        <f>+IF(C$294&lt;&gt;"OK",      IF(C275&lt;0,C315+C327,C277), C277)</f>
        <v>215.24999999999997</v>
      </c>
      <c r="D333" s="5">
        <f>+IF(D$294&lt;&gt;"OK",      IF(D275&lt;0,D315+D327,D277), D277)</f>
        <v>215.24999999999997</v>
      </c>
      <c r="E333" s="5">
        <f>+IF(E$294&lt;&gt;"OK",      IF(E275&lt;0,E315+E327,E277), E277)</f>
        <v>215.24999999999997</v>
      </c>
      <c r="F333" s="5">
        <f>+IF(F$294&lt;&gt;"OK",      IF(F275&lt;0,F315+F327,F277), F277)</f>
        <v>215.24999999999997</v>
      </c>
      <c r="G333" s="18" t="s">
        <v>77</v>
      </c>
      <c r="H333" s="28"/>
      <c r="I333" s="100"/>
      <c r="J333" s="203"/>
    </row>
    <row r="334" spans="1:39">
      <c r="A334" s="365"/>
      <c r="H334" s="28"/>
      <c r="I334" s="100"/>
      <c r="J334" s="203"/>
      <c r="M334" s="154" t="s">
        <v>158</v>
      </c>
      <c r="N334" s="56" t="s">
        <v>200</v>
      </c>
      <c r="O334" s="56" t="s">
        <v>201</v>
      </c>
      <c r="P334" s="56" t="s">
        <v>202</v>
      </c>
      <c r="Q334" s="56" t="s">
        <v>203</v>
      </c>
      <c r="R334" s="57" t="s">
        <v>204</v>
      </c>
      <c r="S334" s="57" t="s">
        <v>205</v>
      </c>
      <c r="T334" s="57" t="s">
        <v>113</v>
      </c>
      <c r="U334" s="57" t="s">
        <v>206</v>
      </c>
      <c r="V334" s="57" t="s">
        <v>207</v>
      </c>
      <c r="W334" s="58" t="s">
        <v>208</v>
      </c>
      <c r="X334" s="58" t="s">
        <v>209</v>
      </c>
      <c r="Y334" s="57" t="s">
        <v>210</v>
      </c>
      <c r="Z334" s="57" t="s">
        <v>211</v>
      </c>
      <c r="AA334" s="57" t="s">
        <v>212</v>
      </c>
      <c r="AB334" s="57" t="s">
        <v>213</v>
      </c>
      <c r="AC334" s="59" t="s">
        <v>211</v>
      </c>
      <c r="AD334" s="60"/>
      <c r="AE334" s="60"/>
      <c r="AF334" s="61"/>
      <c r="AG334" s="59" t="s">
        <v>214</v>
      </c>
      <c r="AH334" s="60"/>
      <c r="AI334" s="60"/>
      <c r="AJ334" s="61"/>
      <c r="AK334" s="58" t="s">
        <v>215</v>
      </c>
      <c r="AL334" s="57" t="s">
        <v>216</v>
      </c>
      <c r="AM334" s="62" t="s">
        <v>217</v>
      </c>
    </row>
    <row r="335" spans="1:39">
      <c r="A335" s="365"/>
      <c r="B335" s="233" t="s">
        <v>218</v>
      </c>
      <c r="C335" t="s">
        <v>446</v>
      </c>
      <c r="H335" s="28"/>
      <c r="I335" s="100"/>
      <c r="J335" s="203"/>
      <c r="M335" s="28"/>
      <c r="N335" s="63"/>
      <c r="O335" s="63"/>
      <c r="P335" s="63"/>
      <c r="Q335" s="63"/>
      <c r="R335" s="63"/>
      <c r="S335" s="64" t="s">
        <v>219</v>
      </c>
      <c r="T335" s="64" t="s">
        <v>220</v>
      </c>
      <c r="U335" s="63"/>
      <c r="V335" s="63"/>
      <c r="W335" s="63"/>
      <c r="X335" s="63"/>
      <c r="Y335" s="64" t="s">
        <v>221</v>
      </c>
      <c r="Z335" s="63"/>
      <c r="AA335" s="63"/>
      <c r="AB335" s="63"/>
      <c r="AC335" s="65" t="s">
        <v>222</v>
      </c>
      <c r="AD335" s="35"/>
      <c r="AE335" s="35"/>
      <c r="AF335" s="66"/>
      <c r="AG335" s="65" t="s">
        <v>222</v>
      </c>
      <c r="AH335" s="35"/>
      <c r="AI335" s="35"/>
      <c r="AJ335" s="66"/>
      <c r="AK335" s="63"/>
      <c r="AL335" s="63"/>
      <c r="AM335" s="67" t="s">
        <v>223</v>
      </c>
    </row>
    <row r="336" spans="1:39" ht="15.75" thickBot="1">
      <c r="A336" s="365"/>
      <c r="B336" s="164" t="s">
        <v>342</v>
      </c>
      <c r="C336" s="356">
        <f>+C$261</f>
        <v>34.5</v>
      </c>
      <c r="D336" s="5">
        <f>+D$261</f>
        <v>38.913365313218542</v>
      </c>
      <c r="E336" s="5">
        <f>+E$261</f>
        <v>38.913365313218542</v>
      </c>
      <c r="F336" s="5">
        <f>+F$261</f>
        <v>38.913365313218542</v>
      </c>
      <c r="G336" s="18" t="str">
        <f>+G$261</f>
        <v>kN</v>
      </c>
      <c r="H336" s="28"/>
      <c r="I336" s="100"/>
      <c r="J336" s="203"/>
      <c r="M336" s="155" t="s">
        <v>224</v>
      </c>
      <c r="N336" s="68" t="s">
        <v>183</v>
      </c>
      <c r="O336" s="68" t="s">
        <v>183</v>
      </c>
      <c r="P336" s="68" t="s">
        <v>183</v>
      </c>
      <c r="Q336" s="68" t="s">
        <v>183</v>
      </c>
      <c r="R336" s="68" t="s">
        <v>224</v>
      </c>
      <c r="S336" s="68"/>
      <c r="T336" s="68"/>
      <c r="U336" s="68" t="s">
        <v>225</v>
      </c>
      <c r="V336" s="68" t="s">
        <v>224</v>
      </c>
      <c r="W336" s="68"/>
      <c r="X336" s="68"/>
      <c r="Y336" s="68" t="s">
        <v>225</v>
      </c>
      <c r="Z336" s="68" t="s">
        <v>225</v>
      </c>
      <c r="AA336" s="68" t="s">
        <v>225</v>
      </c>
      <c r="AB336" s="68" t="s">
        <v>225</v>
      </c>
      <c r="AC336" s="69">
        <v>4</v>
      </c>
      <c r="AD336" s="70">
        <v>5</v>
      </c>
      <c r="AE336" s="70">
        <v>6</v>
      </c>
      <c r="AF336" s="71">
        <v>8</v>
      </c>
      <c r="AG336" s="69">
        <v>4</v>
      </c>
      <c r="AH336" s="70">
        <v>5</v>
      </c>
      <c r="AI336" s="70">
        <v>6</v>
      </c>
      <c r="AJ336" s="71">
        <v>8</v>
      </c>
      <c r="AK336" s="68"/>
      <c r="AL336" s="68"/>
      <c r="AM336" s="72"/>
    </row>
    <row r="337" spans="1:39">
      <c r="A337" s="365"/>
      <c r="B337" s="164" t="s">
        <v>343</v>
      </c>
      <c r="C337" s="356">
        <f>+C$266</f>
        <v>22.5</v>
      </c>
      <c r="D337" s="5">
        <f>+D$266</f>
        <v>27.041634565979919</v>
      </c>
      <c r="E337" s="5">
        <f>+E$266</f>
        <v>27.041634565979919</v>
      </c>
      <c r="F337" s="5">
        <f>+F$266</f>
        <v>27.041634565979919</v>
      </c>
      <c r="G337" s="18" t="str">
        <f>+G$261</f>
        <v>kN</v>
      </c>
      <c r="H337" s="28"/>
      <c r="I337" s="100"/>
      <c r="J337" s="20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</row>
    <row r="338" spans="1:39">
      <c r="A338" s="365"/>
      <c r="B338" s="164" t="s">
        <v>344</v>
      </c>
      <c r="C338" s="356">
        <f>+C$271</f>
        <v>45</v>
      </c>
      <c r="D338" s="5">
        <f>+D$271</f>
        <v>54.083269131959838</v>
      </c>
      <c r="E338" s="5">
        <f>+E$271</f>
        <v>54.083269131959838</v>
      </c>
      <c r="F338" s="5">
        <f>+F$271</f>
        <v>54.083269131959838</v>
      </c>
      <c r="G338" s="18" t="str">
        <f>+G$261</f>
        <v>kN</v>
      </c>
      <c r="H338" s="28"/>
      <c r="I338" s="100"/>
      <c r="J338" s="203"/>
      <c r="K338" s="158"/>
      <c r="M338" s="156">
        <v>851.04</v>
      </c>
      <c r="N338" s="130">
        <v>3400</v>
      </c>
      <c r="O338" s="130">
        <v>600</v>
      </c>
      <c r="P338" s="130">
        <v>75</v>
      </c>
      <c r="Q338" s="130">
        <f>O338-P338</f>
        <v>525</v>
      </c>
      <c r="R338" s="8">
        <f>0.9*$R$328*$N$326*(1-$P$327/$P$326*$R$328*$N$326/$N$325)*N338*Q338^2*0.000001</f>
        <v>3528.4952636718754</v>
      </c>
      <c r="S338" s="130" t="str">
        <f>IF(R338&lt;ABS(M338),"DOBLE/ REF","SIMPLE/ REF")</f>
        <v>SIMPLE/ REF</v>
      </c>
      <c r="T338" s="74">
        <f>IF(ABS(M338)&gt;R338,"-",ABS(M338)*1000000/N338/Q338^2)</f>
        <v>0.90813925570228093</v>
      </c>
      <c r="U338" s="8">
        <f>$F$7*N338*Q338</f>
        <v>0</v>
      </c>
      <c r="V338" s="8" t="str">
        <f>IF(R338&lt;ABS(M338),ABS(M338)-R338,"-")</f>
        <v>-</v>
      </c>
      <c r="W338" s="76">
        <f>1/$P$325*(1-SQRT(1-2*$P$325*T338/0.9/$N$326))</f>
        <v>2.4745232169914189E-3</v>
      </c>
      <c r="X338" s="11">
        <f>IF(R338&lt;ABS(M338),Y338/N338/Q338,0)</f>
        <v>0</v>
      </c>
      <c r="Y338" s="8" t="str">
        <f>IF(R338&lt;ABS(M338),(ABS(M338)-R338)*1000000/0.9/$N$326/(Q338-P338),"-")</f>
        <v>-</v>
      </c>
      <c r="Z338" s="8">
        <f>IF(R338&lt;ABS(M338),Y338+U338,W338*N338*Q338)</f>
        <v>4417.0239423296825</v>
      </c>
      <c r="AA338" s="8">
        <f>$R$325*N338*Q338</f>
        <v>5949.9999999999991</v>
      </c>
      <c r="AB338" s="8">
        <f>+MAX(Z338:AA338)</f>
        <v>5949.9999999999991</v>
      </c>
      <c r="AC338" s="77">
        <f>ROUNDUP(1/(PI()*25.4^2*$AC$336^2/64/4/AB338),0)</f>
        <v>47</v>
      </c>
      <c r="AD338" s="9">
        <f>ROUNDUP(1/(PI()*25.4^2*$AD$336^2/64/4/AB338),0)</f>
        <v>31</v>
      </c>
      <c r="AE338" s="9">
        <f>ROUNDUP(1/(PI()*25.4^2*$AE$336^2/64/4/AB338),0)</f>
        <v>21</v>
      </c>
      <c r="AF338" s="9">
        <f>ROUNDUP(1/(PI()*25.4^2*$AF$336^2/64/4/AB338),0)</f>
        <v>12</v>
      </c>
      <c r="AG338" s="8">
        <f>IF(R338&lt;ABS(M338),ROUNDUP(1/(PI()*25.4^2*$AG$336^2/64/4/Y338),0),0)</f>
        <v>0</v>
      </c>
      <c r="AH338" s="8">
        <f>IF(R338&lt;ABS(M338),ROUNDUP(1/(PI()*25.4^2*$AH$336^2/64/4/Y338),0),0)</f>
        <v>0</v>
      </c>
      <c r="AI338" s="8">
        <f>IF(R338&lt;ABS(M338),ROUNDUP(1/(PI()*25.4^2*$AI$336^2/64/4/Y338),0),0)</f>
        <v>0</v>
      </c>
      <c r="AJ338" s="8">
        <f>IF(R338&lt;ABS(M338),ROUNDUP(1/(PI()*25.4^2*$AJ$336^2/64/4/Y338),0),0)</f>
        <v>0</v>
      </c>
      <c r="AK338" s="11">
        <f>W338-X338</f>
        <v>2.4745232169914189E-3</v>
      </c>
      <c r="AL338" s="75">
        <f>P338/Q338*$P$326*$N$325/$N$326*(600/(600-$N$326))</f>
        <v>1.7202380952380955E-2</v>
      </c>
      <c r="AM338" s="130" t="str">
        <f>IF(R338&lt;M338,IF(AND(AK338&lt;=$R$327,AK338&gt;=AL338),"¡Cumple!","¡No cumple!"),"-")</f>
        <v>-</v>
      </c>
    </row>
    <row r="339" spans="1:39">
      <c r="A339" s="365"/>
      <c r="B339" s="164" t="s">
        <v>345</v>
      </c>
      <c r="C339" s="356">
        <f>+C$276</f>
        <v>52.5</v>
      </c>
      <c r="D339" s="5">
        <f>+D$276</f>
        <v>54.600824169603889</v>
      </c>
      <c r="E339" s="5">
        <f>+E$276</f>
        <v>54.600824169603889</v>
      </c>
      <c r="F339" s="5">
        <f>+F$276</f>
        <v>54.600824169603889</v>
      </c>
      <c r="G339" s="18" t="str">
        <f>+G$261</f>
        <v>kN</v>
      </c>
      <c r="H339" s="28"/>
      <c r="I339" s="100"/>
      <c r="J339" s="203"/>
      <c r="K339" s="158"/>
      <c r="M339" s="157">
        <v>522</v>
      </c>
      <c r="N339" s="130">
        <v>3100</v>
      </c>
      <c r="O339" s="130">
        <v>450</v>
      </c>
      <c r="P339" s="130">
        <v>75</v>
      </c>
      <c r="Q339" s="130">
        <f>O339-P339</f>
        <v>375</v>
      </c>
      <c r="R339" s="8">
        <f>0.9*$R$328*$N$326*(1-$P$327/$P$326*$R$328*$N$326/$N$325)*N339*Q339^2*0.000001</f>
        <v>1641.4068603515627</v>
      </c>
      <c r="S339" s="130" t="str">
        <f>IF(R339&lt;ABS(M339),"DOBLE/ REF","SIMPLE/ REF")</f>
        <v>SIMPLE/ REF</v>
      </c>
      <c r="T339" s="74">
        <f>IF(ABS(M339)&gt;R339,"-",ABS(M339)*1000000/N339/Q339^2)</f>
        <v>1.1974193548387098</v>
      </c>
      <c r="U339" s="8">
        <f>$F$7*N339*Q339</f>
        <v>0</v>
      </c>
      <c r="V339" s="8" t="str">
        <f>IF(R339&lt;ABS(M339),ABS(M339)-R339,"-")</f>
        <v>-</v>
      </c>
      <c r="W339" s="10">
        <f>IF(ABS(M339)&lt;R339,1/$P$325*(1-SQRT(1-2*$P$325*T339/0.9/$N$326)),Z339/N339/Q339)</f>
        <v>3.2955482889399368E-3</v>
      </c>
      <c r="X339" s="11">
        <f>IF(R339&lt;ABS(M339),Y339/N339/Q339,0)</f>
        <v>0</v>
      </c>
      <c r="Y339" s="8" t="str">
        <f>IF(R339&lt;ABS(M339),(ABS(M339)-R339)*1000000/0.9/$N$326/(Q339-P339),"-")</f>
        <v>-</v>
      </c>
      <c r="Z339" s="8">
        <f>IF(R339&lt;ABS(M339),Y339+U339,W339*N339*Q339)</f>
        <v>3831.0748858926768</v>
      </c>
      <c r="AA339" s="8">
        <f>$R$325*N339*Q339</f>
        <v>3874.9999999999995</v>
      </c>
      <c r="AB339" s="8">
        <f>+MAX(Z339:AA339)</f>
        <v>3874.9999999999995</v>
      </c>
      <c r="AC339" s="77">
        <f>ROUNDUP(1/(PI()*25.4^2*$AC$336^2/64/4/AB339),0)</f>
        <v>31</v>
      </c>
      <c r="AD339" s="9">
        <f>ROUNDUP(1/(PI()*25.4^2*$AD$336^2/64/4/AB339),0)</f>
        <v>20</v>
      </c>
      <c r="AE339" s="9">
        <f>ROUNDUP(1/(PI()*25.4^2*$AE$336^2/64/4/AB339),0)</f>
        <v>14</v>
      </c>
      <c r="AF339" s="9">
        <f>ROUNDUP(1/(PI()*25.4^2*$AF$336^2/64/4/AB339),0)</f>
        <v>8</v>
      </c>
      <c r="AG339" s="8">
        <f>IF(R339&lt;ABS(M339),ROUNDUP(1/(PI()*25.4^2*$AG$336^2/64/4/Y339),0),0)</f>
        <v>0</v>
      </c>
      <c r="AH339" s="8">
        <f>IF(R339&lt;ABS(M339),ROUNDUP(1/(PI()*25.4^2*$AH$336^2/64/4/Y339),0),0)</f>
        <v>0</v>
      </c>
      <c r="AI339" s="8">
        <f>IF(R339&lt;ABS(M339),ROUNDUP(1/(PI()*25.4^2*$AI$336^2/64/4/Y339),0),0)</f>
        <v>0</v>
      </c>
      <c r="AJ339" s="8">
        <f>IF(R339&lt;ABS(M339),ROUNDUP(1/(PI()*25.4^2*$AJ$336^2/64/4/Y339),0),0)</f>
        <v>0</v>
      </c>
      <c r="AK339" s="11">
        <f>W339-X339</f>
        <v>3.2955482889399368E-3</v>
      </c>
      <c r="AL339" s="75">
        <f>P339/Q339*$P$326*$N$325/$N$326*(600/(600-$N$326))</f>
        <v>2.4083333333333339E-2</v>
      </c>
      <c r="AM339" s="130" t="str">
        <f>IF(R339&lt;M339,IF(AND(AK339&lt;=$R$327,AK339&gt;=AL339),"¡Cumple!","¡No cumple!"),"-")</f>
        <v>-</v>
      </c>
    </row>
    <row r="340" spans="1:39">
      <c r="A340" s="365"/>
      <c r="H340" s="160"/>
      <c r="I340" s="100"/>
      <c r="J340" s="203"/>
      <c r="K340" s="158"/>
      <c r="M340" s="157">
        <v>239</v>
      </c>
      <c r="N340" s="130">
        <v>2100</v>
      </c>
      <c r="O340" s="130">
        <v>400</v>
      </c>
      <c r="P340" s="130">
        <v>75</v>
      </c>
      <c r="Q340" s="130">
        <f>O340-P340</f>
        <v>325</v>
      </c>
      <c r="R340" s="8">
        <f>0.9*$R$328*$N$326*(1-$P$327/$P$326*$R$328*$N$326/$N$325)*N340*Q340^2*0.000001</f>
        <v>835.17604980468775</v>
      </c>
      <c r="S340" s="130" t="str">
        <f>IF(R340&lt;ABS(M340),"DOBLE/ REF","SIMPLE/ REF")</f>
        <v>SIMPLE/ REF</v>
      </c>
      <c r="T340" s="74">
        <f>IF(ABS(M340)&gt;R340,"-",ABS(M340)*1000000/N340/Q340^2)</f>
        <v>1.0774866159481544</v>
      </c>
      <c r="U340" s="8">
        <f>$F$7*N340*Q340</f>
        <v>0</v>
      </c>
      <c r="V340" s="8" t="str">
        <f>IF(R340&lt;ABS(M340),ABS(M340)-R340,"-")</f>
        <v>-</v>
      </c>
      <c r="W340" s="11">
        <f>IF(ABS(M340)&lt;R340,1/$P$325*(1-SQRT(1-2*$P$325*T340/0.9/$N$326)),Z340/N340/Q340)</f>
        <v>2.9530906884455196E-3</v>
      </c>
      <c r="X340" s="11">
        <f>IF(R340&lt;ABS(M340),Y340/N340/Q340,0)</f>
        <v>0</v>
      </c>
      <c r="Y340" s="8" t="str">
        <f>IF(R340&lt;ABS(M340),(ABS(M340)-R340)*1000000/0.9/$N$326/(Q340-P340),"-")</f>
        <v>-</v>
      </c>
      <c r="Z340" s="8">
        <f>IF(R340&lt;ABS(M340),Y340+U340,W340*N340*Q340)</f>
        <v>2015.4843948640671</v>
      </c>
      <c r="AA340" s="8">
        <f>$R$325*N340*Q340</f>
        <v>2274.9999999999995</v>
      </c>
      <c r="AB340" s="8">
        <f>+MAX(Z340:AA340)</f>
        <v>2274.9999999999995</v>
      </c>
      <c r="AC340" s="77">
        <f>ROUNDUP(1/(PI()*25.4^2*$AC$336^2/64/4/AB340),0)</f>
        <v>18</v>
      </c>
      <c r="AD340" s="9">
        <f>ROUNDUP(1/(PI()*25.4^2*$AD$336^2/64/4/AB340),0)</f>
        <v>12</v>
      </c>
      <c r="AE340" s="9">
        <f>ROUNDUP(1/(PI()*25.4^2*$AE$336^2/64/4/AB340),0)</f>
        <v>8</v>
      </c>
      <c r="AF340" s="9">
        <f>ROUNDUP(1/(PI()*25.4^2*$AF$336^2/64/4/AB340),0)</f>
        <v>5</v>
      </c>
      <c r="AG340" s="8">
        <f>IF(R340&lt;ABS(M340),ROUNDUP(1/(PI()*25.4^2*$AG$336^2/64/4/Y340),0),0)</f>
        <v>0</v>
      </c>
      <c r="AH340" s="8">
        <f>IF(R340&lt;ABS(M340),ROUNDUP(1/(PI()*25.4^2*$AH$336^2/64/4/Y340),0),0)</f>
        <v>0</v>
      </c>
      <c r="AI340" s="8">
        <f>IF(R340&lt;ABS(M340),ROUNDUP(1/(PI()*25.4^2*$AI$336^2/64/4/Y340),0),0)</f>
        <v>0</v>
      </c>
      <c r="AJ340" s="8">
        <f>IF(R340&lt;ABS(M340),ROUNDUP(1/(PI()*25.4^2*$AJ$336^2/64/4/Y340),0),0)</f>
        <v>0</v>
      </c>
      <c r="AK340" s="11">
        <f>W340-X340</f>
        <v>2.9530906884455196E-3</v>
      </c>
      <c r="AL340" s="75">
        <f>P340/Q340*$P$326*$N$325/$N$326*(600/(600-$N$326))</f>
        <v>2.778846153846154E-2</v>
      </c>
      <c r="AM340" s="130" t="str">
        <f>IF(R340&lt;M340,IF(AND(AK340&lt;=$R$327,AK340&gt;=AL340),"¡Cumple!","¡No cumple!"),"-")</f>
        <v>-</v>
      </c>
    </row>
    <row r="341" spans="1:39">
      <c r="A341" s="365"/>
      <c r="B341" s="233" t="s">
        <v>226</v>
      </c>
      <c r="H341" s="28"/>
      <c r="I341" s="100"/>
      <c r="J341" s="203"/>
      <c r="K341" s="158"/>
      <c r="M341" s="18"/>
      <c r="N341" s="1"/>
      <c r="O341" s="1"/>
      <c r="P341" s="1"/>
      <c r="Q341" s="1"/>
      <c r="R341" s="1"/>
      <c r="S341" s="1"/>
      <c r="T341" s="1"/>
      <c r="U341" s="1"/>
      <c r="V341" s="1"/>
      <c r="W341" s="1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>
      <c r="A342" s="365"/>
      <c r="B342" s="164" t="s">
        <v>342</v>
      </c>
      <c r="C342" s="356">
        <f>+C$260</f>
        <v>-1224.5999999999999</v>
      </c>
      <c r="D342" s="5">
        <f>+D$260</f>
        <v>-1224.5999999999999</v>
      </c>
      <c r="E342" s="5">
        <f>+E$260</f>
        <v>-1224.5999999999999</v>
      </c>
      <c r="F342" s="5">
        <f>+F$260</f>
        <v>-1224.5999999999999</v>
      </c>
      <c r="G342" s="18" t="str">
        <f>+G$261</f>
        <v>kN</v>
      </c>
      <c r="H342" s="28"/>
    </row>
    <row r="343" spans="1:39">
      <c r="A343" s="365"/>
      <c r="B343" s="164" t="s">
        <v>343</v>
      </c>
      <c r="C343" s="356">
        <f>+C$265</f>
        <v>950.4</v>
      </c>
      <c r="D343" s="5">
        <f>+D$265</f>
        <v>950.4</v>
      </c>
      <c r="E343" s="5">
        <f>+E$265</f>
        <v>950.4</v>
      </c>
      <c r="F343" s="5">
        <f>+F$265</f>
        <v>950.4</v>
      </c>
      <c r="G343" s="18" t="str">
        <f>+G$261</f>
        <v>kN</v>
      </c>
      <c r="H343" s="28"/>
      <c r="I343" s="100"/>
      <c r="J343" s="203"/>
      <c r="K343" s="158"/>
    </row>
    <row r="344" spans="1:39">
      <c r="A344" s="365"/>
      <c r="B344" s="164" t="s">
        <v>344</v>
      </c>
      <c r="C344" s="356">
        <f>+C$270</f>
        <v>-24.599999999999998</v>
      </c>
      <c r="D344" s="5">
        <f>+D$270</f>
        <v>-24.599999999999998</v>
      </c>
      <c r="E344" s="5">
        <f>+E$270</f>
        <v>-24.599999999999998</v>
      </c>
      <c r="F344" s="5">
        <f>+F$270</f>
        <v>-24.599999999999998</v>
      </c>
      <c r="G344" s="18" t="str">
        <f>+G$261</f>
        <v>kN</v>
      </c>
      <c r="H344" s="28"/>
      <c r="I344" s="100"/>
      <c r="J344" s="203"/>
    </row>
    <row r="345" spans="1:39">
      <c r="A345" s="365"/>
      <c r="B345" s="164" t="s">
        <v>345</v>
      </c>
      <c r="C345" s="356">
        <f>+C$275</f>
        <v>275.39999999999998</v>
      </c>
      <c r="D345" s="5">
        <f>+D$275</f>
        <v>275.39999999999998</v>
      </c>
      <c r="E345" s="5">
        <f>+E$275</f>
        <v>275.39999999999998</v>
      </c>
      <c r="F345" s="5">
        <f>+F$275</f>
        <v>275.39999999999998</v>
      </c>
      <c r="G345" s="18" t="str">
        <f>+G$261</f>
        <v>kN</v>
      </c>
      <c r="H345" s="28"/>
    </row>
    <row r="346" spans="1:39" ht="17.25">
      <c r="A346" s="365"/>
      <c r="B346" s="1" t="s">
        <v>349</v>
      </c>
      <c r="C346" s="220">
        <f>IFERROR(IF(C342&lt;0,(ABS(C342)*100/(0.9*C$286*10))+(0.85*$C$16/$C$15*(1-
SQRT((1-2*$C$15/0.85/$C$16*((C330/0.9/C$39/(C$39*0.8-C$45)^2)/1000)/$C$15))
))*C$39*(0.8*C$39-C$45)*2*100*100,"No aplica"),
"Aumentar D")</f>
        <v>84.894882347559587</v>
      </c>
      <c r="D346" s="220">
        <f>IFERROR(IF(D342&lt;0,(ABS(D342)*100/(0.9*D$286*10))+(0.85*$C$16/$C$15*(1-
SQRT((1-2*$C$15/0.85/$C$16*((D330/0.9/D$39/(D$39*0.8-D$45)^2)/1000)/$C$15))
))*D$39*(0.8*D$39-D$45)*2*100*100,"No aplica"),
"Aumentar D")</f>
        <v>85.934846413282386</v>
      </c>
      <c r="E346" s="220">
        <f>IFERROR(IF(E342&lt;0,(ABS(E342)*100/(0.9*E$286*10))+(0.85*$C$16/$C$15*(1-
SQRT((1-2*$C$15/0.85/$C$16*((E330/0.9/E$39/(E$39*0.8-E$45)^2)/1000)/$C$15))
))*E$39*(0.8*E$39-E$45)*2*100*100,"No aplica"),
"Aumentar D")</f>
        <v>85.934846413282386</v>
      </c>
      <c r="F346" s="220">
        <f>IFERROR(IF(F342&lt;0,(ABS(F342)*100/(0.9*F$286*10))+(0.85*$C$16/$C$15*(1-
SQRT((1-2*$C$15/0.85/$C$16*((F330/0.9/F$39/(F$39*0.8-F$45)^2)/1000)/$C$15))
))*F$39*(0.8*F$39-F$45)*2*100*100,"No aplica"),
"Aumentar D")</f>
        <v>85.934846413282386</v>
      </c>
      <c r="G346" s="123" t="s">
        <v>143</v>
      </c>
      <c r="H346" s="28"/>
      <c r="I346" s="220">
        <f>+IFERROR(SQRT((1-2*$C$15/0.85/$C$16*((MAX(C330:F330)/0.9/F$39/(F$39*0.8-F$45)^2)/1000)/$C$15)),
"Aumentar D")</f>
        <v>0.64008053098180173</v>
      </c>
    </row>
    <row r="347" spans="1:39" ht="17.25">
      <c r="A347" s="365"/>
      <c r="B347" s="1" t="s">
        <v>227</v>
      </c>
      <c r="C347" s="220" t="str">
        <f t="shared" ref="C347:F349" si="16">IFERROR(IF(C343&lt;0,(ABS(C343)*100/(0.9*C$286*10))+(0.85*$C$16/$C$15*(1-SQRT((1-2*$C$15/0.85/$C$16*((C331/0.9/C$39/(C$39*0.8-C$45)^2)/1000)/$C$15))))*C$39*(0.8*C$39-C$45)*2*100*100,"No aplica"),
"Aumentar D")</f>
        <v>No aplica</v>
      </c>
      <c r="D347" s="220" t="str">
        <f t="shared" si="16"/>
        <v>No aplica</v>
      </c>
      <c r="E347" s="220" t="str">
        <f t="shared" si="16"/>
        <v>No aplica</v>
      </c>
      <c r="F347" s="220" t="str">
        <f t="shared" si="16"/>
        <v>No aplica</v>
      </c>
      <c r="G347" s="123" t="s">
        <v>143</v>
      </c>
      <c r="H347" s="28"/>
      <c r="I347" s="311">
        <f>0.0833333 *(10 *F$45 + (37.5924*$C$16*F$45^2)/(12* $C$16^2 *MAX(C330:F330) - 425 *$C$16^3 *F$45^3 +
     4.89898 *SQRT(6 *$C$16^4 *MAX(C330:F330)^2 - 425*$C$16^5 *MAX(C330:F330) *F$45^3))^(1/3) + (
   0.665029 *(12 *$C$16^2 *MAX(C330:F330) - 425 *$C$16^3 *F$45^3 +
      4.89898 *SQRT(6 *$C$16^4 *MAX(C330:F330)^2 - 425 *$C$16^5 *MAX(C330:F330) *F$45^3))^(1/3))/$C$16)</f>
        <v>0.42646326973716114</v>
      </c>
      <c r="J347" s="203"/>
    </row>
    <row r="348" spans="1:39" ht="17.25">
      <c r="A348" s="365"/>
      <c r="B348" s="1" t="s">
        <v>228</v>
      </c>
      <c r="C348" s="220">
        <f t="shared" si="16"/>
        <v>32.291356714318439</v>
      </c>
      <c r="D348" s="220">
        <f t="shared" si="16"/>
        <v>32.326509661279502</v>
      </c>
      <c r="E348" s="220">
        <f t="shared" si="16"/>
        <v>32.326509661279502</v>
      </c>
      <c r="F348" s="220">
        <f t="shared" si="16"/>
        <v>32.326509661279502</v>
      </c>
      <c r="G348" s="123" t="s">
        <v>143</v>
      </c>
      <c r="H348" s="28"/>
      <c r="I348" s="100"/>
      <c r="J348" s="203"/>
    </row>
    <row r="349" spans="1:39" ht="17.25">
      <c r="A349" s="365"/>
      <c r="B349" s="1" t="s">
        <v>229</v>
      </c>
      <c r="C349" s="220" t="str">
        <f t="shared" si="16"/>
        <v>No aplica</v>
      </c>
      <c r="D349" s="220" t="str">
        <f t="shared" si="16"/>
        <v>No aplica</v>
      </c>
      <c r="E349" s="220" t="str">
        <f t="shared" si="16"/>
        <v>No aplica</v>
      </c>
      <c r="F349" s="220" t="str">
        <f t="shared" si="16"/>
        <v>No aplica</v>
      </c>
      <c r="G349" s="123" t="s">
        <v>143</v>
      </c>
      <c r="H349" s="28"/>
      <c r="I349" s="100"/>
      <c r="J349" s="203"/>
    </row>
    <row r="350" spans="1:39" ht="17.25">
      <c r="A350" s="365"/>
      <c r="B350" s="1" t="s">
        <v>230</v>
      </c>
      <c r="C350" s="222">
        <f>+C353*(C283*100)^2</f>
        <v>12.5</v>
      </c>
      <c r="D350" s="222">
        <f>+D353*(D283*100)^2</f>
        <v>12.5</v>
      </c>
      <c r="E350" s="222">
        <f>+E353*(E283*100)^2</f>
        <v>12.5</v>
      </c>
      <c r="F350" s="222">
        <f>+F353*(F283*100)^2</f>
        <v>12.5</v>
      </c>
      <c r="G350" s="123" t="s">
        <v>143</v>
      </c>
      <c r="H350" s="28"/>
      <c r="I350" s="100"/>
      <c r="J350" s="203"/>
    </row>
    <row r="351" spans="1:39" ht="17.25">
      <c r="A351" s="365"/>
      <c r="B351" s="179" t="s">
        <v>231</v>
      </c>
      <c r="C351" s="220">
        <f>+MAX(C346:C350)</f>
        <v>84.894882347559587</v>
      </c>
      <c r="D351" s="220">
        <f>+MAX(D346:D350)</f>
        <v>85.934846413282386</v>
      </c>
      <c r="E351" s="220">
        <f>+MAX(E346:E350)</f>
        <v>85.934846413282386</v>
      </c>
      <c r="F351" s="220">
        <f>+MAX(F346:F350)</f>
        <v>85.934846413282386</v>
      </c>
      <c r="G351" s="123" t="s">
        <v>143</v>
      </c>
      <c r="H351" s="28"/>
      <c r="I351" s="100"/>
      <c r="J351" s="203"/>
    </row>
    <row r="352" spans="1:39" ht="17.25">
      <c r="A352" s="365"/>
      <c r="B352" s="1" t="s">
        <v>232</v>
      </c>
      <c r="C352" s="356">
        <f>+C$283^2*10000</f>
        <v>2500</v>
      </c>
      <c r="D352" s="5">
        <f>+D$283^2*10000</f>
        <v>2500</v>
      </c>
      <c r="E352" s="5">
        <f>+E$283^2*10000</f>
        <v>2500</v>
      </c>
      <c r="F352" s="5">
        <f>+F$283^2*10000</f>
        <v>2500</v>
      </c>
      <c r="G352" s="123" t="s">
        <v>143</v>
      </c>
      <c r="H352" s="28" t="e">
        <f>+C354/C352</f>
        <v>#VALUE!</v>
      </c>
      <c r="I352" s="100"/>
      <c r="J352" s="203"/>
      <c r="N352" s="36"/>
      <c r="O352" s="36"/>
      <c r="P352" s="36"/>
      <c r="Q352" s="36"/>
      <c r="R352" s="36"/>
    </row>
    <row r="353" spans="1:21">
      <c r="A353" s="365"/>
      <c r="B353" s="1" t="s">
        <v>141</v>
      </c>
      <c r="C353" s="356">
        <v>5.0000000000000001E-3</v>
      </c>
      <c r="D353" s="15">
        <v>5.0000000000000001E-3</v>
      </c>
      <c r="E353" s="15">
        <v>5.0000000000000001E-3</v>
      </c>
      <c r="F353" s="15">
        <v>5.0000000000000001E-3</v>
      </c>
      <c r="G353" s="197"/>
      <c r="H353" s="28">
        <f>+C351/C352</f>
        <v>3.3957952939023837E-2</v>
      </c>
      <c r="I353" s="100"/>
      <c r="J353" s="203"/>
      <c r="M353" s="35"/>
      <c r="N353" s="36"/>
      <c r="O353" s="36"/>
      <c r="P353" s="36"/>
      <c r="Q353" s="36"/>
      <c r="R353" s="36"/>
    </row>
    <row r="354" spans="1:21" ht="18" thickBot="1">
      <c r="A354" s="365"/>
      <c r="B354" s="176" t="s">
        <v>233</v>
      </c>
      <c r="C354" s="356" t="str">
        <f>IF($G$356*VLOOKUP(C355,$K$258:$L$263,2,FALSE)&lt;C351,"verificar",($G$356*VLOOKUP(C355,$K$258:$L$263,2,FALSE)))</f>
        <v>verificar</v>
      </c>
      <c r="D354" s="295" t="str">
        <f>IF($G$356*VLOOKUP(D355,$K$258:$L$263,2,FALSE)&lt;D351,"verificar",($G$356*VLOOKUP(D355,$K$258:$L$263,2,FALSE)))</f>
        <v>verificar</v>
      </c>
      <c r="E354" s="295" t="str">
        <f>IF($G$356*VLOOKUP(E355,$K$258:$L$263,2,FALSE)&lt;E351,"verificar",($G$356*VLOOKUP(E355,$K$258:$L$263,2,FALSE)))</f>
        <v>verificar</v>
      </c>
      <c r="F354" s="295" t="str">
        <f>IF($G$356*VLOOKUP(F355,$K$258:$L$263,2,FALSE)&lt;F351,"verificar",($G$356*VLOOKUP(F355,$K$258:$L$263,2,FALSE)))</f>
        <v>verificar</v>
      </c>
      <c r="G354" s="123" t="s">
        <v>143</v>
      </c>
      <c r="H354" s="28"/>
      <c r="R354">
        <f>+$C$39-0.075*2</f>
        <v>0.35</v>
      </c>
      <c r="S354" s="36" t="s">
        <v>234</v>
      </c>
      <c r="T354" s="36"/>
      <c r="U354" s="36"/>
    </row>
    <row r="355" spans="1:21">
      <c r="A355" s="365"/>
      <c r="B355" s="1" t="s">
        <v>235</v>
      </c>
      <c r="C355" s="224" t="s">
        <v>159</v>
      </c>
      <c r="D355" s="221" t="str">
        <f>+C355</f>
        <v>No. 7</v>
      </c>
      <c r="E355" s="221" t="str">
        <f>+D355</f>
        <v>No. 7</v>
      </c>
      <c r="F355" s="221" t="str">
        <f>+E355</f>
        <v>No. 7</v>
      </c>
      <c r="G355" s="217"/>
      <c r="H355" s="28"/>
      <c r="N355" s="307" t="s">
        <v>236</v>
      </c>
      <c r="O355" s="307"/>
      <c r="P355" s="307"/>
      <c r="Q355" s="308"/>
      <c r="R355" s="2">
        <f>+R354*PI()</f>
        <v>1.0995574287564276</v>
      </c>
      <c r="S355" s="36" t="s">
        <v>237</v>
      </c>
      <c r="T355" s="36"/>
      <c r="U355" s="36"/>
    </row>
    <row r="356" spans="1:21">
      <c r="A356" s="365"/>
      <c r="B356" s="1" t="str">
        <f>"Cantidad de barras " &amp;C355</f>
        <v>Cantidad de barras No. 7</v>
      </c>
      <c r="C356" s="356">
        <f>+ROUNDUP(C351/VLOOKUP(C355,$K$258:$L$263,2,FALSE)/4,0)*4</f>
        <v>24</v>
      </c>
      <c r="D356" s="240">
        <f>+ROUNDUP(D351/VLOOKUP(D355,$K$258:$L$263,2,FALSE)/4,0)*4</f>
        <v>24</v>
      </c>
      <c r="E356" s="240">
        <f>+ROUNDUP(E351/VLOOKUP(E355,$K$258:$L$263,2,FALSE)/4,0)*4</f>
        <v>24</v>
      </c>
      <c r="F356" s="240">
        <f>+ROUNDUP(F351/VLOOKUP(F355,$K$258:$L$263,2,FALSE)/4,0)*4</f>
        <v>24</v>
      </c>
      <c r="G356" s="302">
        <v>20</v>
      </c>
      <c r="H356" s="28"/>
      <c r="I356" s="130" t="s">
        <v>405</v>
      </c>
      <c r="J356" s="338">
        <f>+VLOOKUP(C355,Despiece!N7:T12,6 +IF(C45&gt;= 0.07, 1,0), FALSE)</f>
        <v>0.65</v>
      </c>
      <c r="N356" s="20">
        <f>+$R$355/C356</f>
        <v>4.5814892864851152E-2</v>
      </c>
      <c r="O356" s="5">
        <f>+$R$355/D356</f>
        <v>4.5814892864851152E-2</v>
      </c>
      <c r="P356" s="5">
        <f>+$R$355/E356</f>
        <v>4.5814892864851152E-2</v>
      </c>
      <c r="Q356" s="5">
        <f>+$R$355/F356</f>
        <v>4.5814892864851152E-2</v>
      </c>
    </row>
    <row r="357" spans="1:21">
      <c r="A357" s="365"/>
      <c r="B357" s="1" t="s">
        <v>371</v>
      </c>
      <c r="C357" s="356" t="e">
        <f>+C354/C352</f>
        <v>#VALUE!</v>
      </c>
      <c r="D357" s="172" t="e">
        <f>+D354/D352</f>
        <v>#VALUE!</v>
      </c>
      <c r="E357" s="172" t="e">
        <f>+E354/E352</f>
        <v>#VALUE!</v>
      </c>
      <c r="F357" s="172" t="e">
        <f>+F354/F352</f>
        <v>#VALUE!</v>
      </c>
      <c r="G357" s="6">
        <f>C39/(G356/4)*100</f>
        <v>10</v>
      </c>
      <c r="H357" s="28"/>
      <c r="I357" s="130"/>
      <c r="J357" s="339" t="s">
        <v>406</v>
      </c>
    </row>
    <row r="358" spans="1:21">
      <c r="A358" s="365"/>
      <c r="C358" s="294">
        <f>+VLOOKUP(C355,$K$258:$L$263,2,FALSE)</f>
        <v>3.85</v>
      </c>
      <c r="D358" s="296"/>
      <c r="E358" s="294"/>
      <c r="F358" s="294"/>
      <c r="H358" s="28"/>
      <c r="I358" s="340" t="s">
        <v>407</v>
      </c>
      <c r="J358" s="1" t="s">
        <v>408</v>
      </c>
    </row>
    <row r="359" spans="1:21">
      <c r="A359" s="365"/>
      <c r="B359" s="233" t="s">
        <v>238</v>
      </c>
      <c r="D359" s="294"/>
      <c r="E359" s="294"/>
      <c r="F359" s="294"/>
      <c r="H359" s="28"/>
      <c r="I359" s="341">
        <f>+C40</f>
        <v>0.4</v>
      </c>
      <c r="J359" s="343" t="str">
        <f>IF(IF(I357="",J356,I357)&lt;I359-C45, "OK", "Aumentar Espesor")</f>
        <v>Aumentar Espesor</v>
      </c>
    </row>
    <row r="360" spans="1:21">
      <c r="A360" s="365"/>
      <c r="B360" s="164" t="s">
        <v>239</v>
      </c>
      <c r="C360" s="223">
        <v>0.3</v>
      </c>
      <c r="D360" s="221">
        <f t="shared" ref="D360:F361" si="17">+C360</f>
        <v>0.3</v>
      </c>
      <c r="E360" s="221">
        <f t="shared" si="17"/>
        <v>0.3</v>
      </c>
      <c r="F360" s="221">
        <f t="shared" si="17"/>
        <v>0.3</v>
      </c>
      <c r="G360" s="18" t="s">
        <v>50</v>
      </c>
      <c r="H360" s="28"/>
      <c r="I360" s="342">
        <f>+J356+C45</f>
        <v>0.70000000000000007</v>
      </c>
    </row>
    <row r="361" spans="1:21">
      <c r="A361" s="365"/>
      <c r="B361" s="1" t="s">
        <v>240</v>
      </c>
      <c r="C361" s="224" t="s">
        <v>154</v>
      </c>
      <c r="D361" s="221" t="str">
        <f t="shared" si="17"/>
        <v>No. 4</v>
      </c>
      <c r="E361" s="221" t="str">
        <f t="shared" si="17"/>
        <v>No. 4</v>
      </c>
      <c r="F361" s="221" t="str">
        <f t="shared" si="17"/>
        <v>No. 4</v>
      </c>
      <c r="G361" s="197"/>
      <c r="H361" s="28"/>
    </row>
    <row r="362" spans="1:21" ht="17.25">
      <c r="A362" s="365"/>
      <c r="B362" s="1" t="s">
        <v>241</v>
      </c>
      <c r="C362" s="356">
        <f>VLOOKUP(C361,$K$258:$L$263,2,FALSE)</f>
        <v>1.27</v>
      </c>
      <c r="D362" s="1">
        <f>VLOOKUP(D361,$K$258:$L$263,2,FALSE)</f>
        <v>1.27</v>
      </c>
      <c r="E362" s="1">
        <f>VLOOKUP(E361,$K$258:$L$263,2,FALSE)</f>
        <v>1.27</v>
      </c>
      <c r="F362" s="1">
        <f>VLOOKUP(F361,$K$258:$L$263,2,FALSE)</f>
        <v>1.27</v>
      </c>
      <c r="G362" s="123" t="s">
        <v>143</v>
      </c>
      <c r="H362" s="28"/>
    </row>
    <row r="363" spans="1:21" ht="17.25">
      <c r="A363" s="365"/>
      <c r="B363" s="170" t="s">
        <v>242</v>
      </c>
      <c r="C363" s="356">
        <f>MAX(  0.35,
                0.062*SQRT(C285))*(C$283*1000)*(C$360*1000)/C$286* (1/100)</f>
        <v>1.25</v>
      </c>
      <c r="D363" s="5">
        <f>MAX(0.35, 0.062*SQRT(D285))*(D$283*1000)*(D$360*1000)/D$286* (1/100)</f>
        <v>1.25</v>
      </c>
      <c r="E363" s="5">
        <f>MAX(0.35, 0.062*SQRT(E285))*(E$283*1000)*(E$360*1000)/E$286* (1/100)</f>
        <v>1.25</v>
      </c>
      <c r="F363" s="5">
        <f>MAX(0.35, 0.062*SQRT(F285))*(F$283*1000)*(F$360*1000)/F$286* (1/100)</f>
        <v>1.25</v>
      </c>
      <c r="G363" s="242" t="s">
        <v>143</v>
      </c>
      <c r="H363" s="28"/>
      <c r="K363">
        <f>0.5^2*0.8*1000</f>
        <v>200</v>
      </c>
    </row>
    <row r="364" spans="1:21">
      <c r="A364" s="365"/>
      <c r="B364" s="1" t="str">
        <f>"Cantidad de estribos "&amp;C361</f>
        <v>Cantidad de estribos No. 4</v>
      </c>
      <c r="C364" s="240">
        <f>+ROUNDUP((C$41-C$45)/C360,0)+1</f>
        <v>15</v>
      </c>
      <c r="D364" s="240">
        <f>+ROUNDUP((D$41-D$45)/D360,0)+1</f>
        <v>15</v>
      </c>
      <c r="E364" s="240">
        <f>+ROUNDUP((E$41-E$45)/E360,0)+1</f>
        <v>15</v>
      </c>
      <c r="F364" s="240">
        <f>+ROUNDUP((F$41-F$45)/F360,0)+1</f>
        <v>15</v>
      </c>
      <c r="H364" s="28"/>
      <c r="K364" s="4"/>
      <c r="O364">
        <f>3.5/100*300*60</f>
        <v>630.00000000000011</v>
      </c>
    </row>
    <row r="365" spans="1:21">
      <c r="A365" s="365"/>
      <c r="B365" s="173" t="s">
        <v>348</v>
      </c>
      <c r="C365" s="356">
        <f>0.75*0.17*SQRT(C$285)*0.8*C$283*C$283*1000</f>
        <v>116.85568022137392</v>
      </c>
      <c r="D365" s="5">
        <f>0.75*1/6*SQRT(D$285)*0.8*D$283*D$283*1000</f>
        <v>114.564392373896</v>
      </c>
      <c r="E365" s="5">
        <f>0.75*1/6*SQRT(E$285)*0.8*E$283*E$283*1000</f>
        <v>114.564392373896</v>
      </c>
      <c r="F365" s="5">
        <f>0.75*1/6*SQRT(F$285)*0.8*F$283*F$283*1000</f>
        <v>114.564392373896</v>
      </c>
      <c r="G365" s="18" t="s">
        <v>41</v>
      </c>
      <c r="H365" s="28"/>
      <c r="O365">
        <f>+O364/19.1</f>
        <v>32.984293193717278</v>
      </c>
    </row>
    <row r="366" spans="1:21">
      <c r="A366" s="365"/>
      <c r="B366" s="174" t="s">
        <v>243</v>
      </c>
      <c r="C366" s="356">
        <f>0.75*2*C$362*C$286*0.8*C$283/C$360*10/1000*9.8</f>
        <v>104.54640000000002</v>
      </c>
      <c r="D366" s="7">
        <f>0.75*2*D$362*D$286*0.8*D$283/D$360*10/1000*9.8</f>
        <v>104.54640000000002</v>
      </c>
      <c r="E366" s="7">
        <f>0.75*2*E$362*E$286*0.8*E$283/E$360*10/1000*9.8</f>
        <v>104.54640000000002</v>
      </c>
      <c r="F366" s="7">
        <f>0.75*2*F$362*F$286*0.8*F$283/F$360*10/1000*9.8</f>
        <v>104.54640000000002</v>
      </c>
      <c r="G366" s="18" t="s">
        <v>41</v>
      </c>
      <c r="H366" s="28"/>
    </row>
    <row r="367" spans="1:21">
      <c r="A367" s="365"/>
      <c r="B367" s="167" t="s">
        <v>244</v>
      </c>
      <c r="C367" s="356">
        <f>+C365+C366</f>
        <v>221.40208022137392</v>
      </c>
      <c r="D367" s="7">
        <f>+D365+D366</f>
        <v>219.110792373896</v>
      </c>
      <c r="E367" s="7">
        <f>+E365+E366</f>
        <v>219.110792373896</v>
      </c>
      <c r="F367" s="7">
        <f>+F365+F366</f>
        <v>219.110792373896</v>
      </c>
      <c r="G367" s="18" t="s">
        <v>41</v>
      </c>
      <c r="H367" s="28"/>
    </row>
    <row r="368" spans="1:21" ht="16.5" thickBot="1">
      <c r="A368" s="365"/>
      <c r="B368" s="280" t="s">
        <v>245</v>
      </c>
      <c r="C368" s="281" t="str">
        <f>+IF(C$367&gt;MAX(C336:C339),"OK","NO CUMPLE")</f>
        <v>OK</v>
      </c>
      <c r="D368" s="281" t="str">
        <f>+IF(D$367&gt;MAX(D336:G338),"OK","NO CUMPLE")</f>
        <v>OK</v>
      </c>
      <c r="E368" s="281" t="str">
        <f>+IF(E$367&gt;MAX(E336:H339),"OK","NO CUMPLE")</f>
        <v>OK</v>
      </c>
      <c r="F368" s="281" t="str">
        <f>+IF(F$367&gt;MAX(F336:I339),"OK","NO CUMPLE")</f>
        <v>OK</v>
      </c>
      <c r="G368" s="165"/>
      <c r="H368" s="28"/>
      <c r="I368" s="100" t="s">
        <v>309</v>
      </c>
      <c r="J368" s="203">
        <f>+MAX(C336:F339)</f>
        <v>54.600824169603889</v>
      </c>
      <c r="K368" t="s">
        <v>308</v>
      </c>
      <c r="L368" s="30">
        <f>MIN(C$367:F$367)</f>
        <v>219.110792373896</v>
      </c>
      <c r="O368">
        <f>+(6/8*2.54)^2*PI()/4</f>
        <v>2.8502295699234246</v>
      </c>
    </row>
    <row r="369" spans="1:15" ht="15.75" thickBot="1">
      <c r="A369" s="251"/>
      <c r="B369" s="129"/>
      <c r="C369" s="129">
        <f>0.75*2*C$362*C$286*0.8</f>
        <v>640.08000000000004</v>
      </c>
      <c r="D369" s="129">
        <f>+C$283/C$360*10/1000*9.8</f>
        <v>0.16333333333333333</v>
      </c>
      <c r="E369" s="129">
        <f>+D369*C369</f>
        <v>104.54640000000001</v>
      </c>
      <c r="F369" s="129"/>
      <c r="G369" s="129"/>
      <c r="H369" s="122"/>
    </row>
    <row r="370" spans="1:15" ht="15" customHeight="1">
      <c r="A370" s="389" t="s">
        <v>246</v>
      </c>
      <c r="B370" s="251"/>
      <c r="C370" s="352"/>
      <c r="D370" s="352"/>
      <c r="E370" s="352"/>
      <c r="F370" s="352"/>
      <c r="G370" s="353"/>
      <c r="H370" s="28"/>
    </row>
    <row r="371" spans="1:15">
      <c r="A371" s="390"/>
      <c r="B371" s="252"/>
      <c r="C371" s="180"/>
      <c r="D371" s="180"/>
      <c r="E371" s="180"/>
      <c r="F371" s="180"/>
      <c r="G371" s="253"/>
      <c r="H371" s="28"/>
      <c r="I371">
        <f>1/0.9</f>
        <v>1.1111111111111112</v>
      </c>
    </row>
    <row r="372" spans="1:15">
      <c r="A372" s="390"/>
      <c r="B372" s="252"/>
      <c r="C372" s="180"/>
      <c r="D372" s="180"/>
      <c r="E372" s="180"/>
      <c r="F372" s="180"/>
      <c r="G372" s="253"/>
      <c r="H372" s="28"/>
    </row>
    <row r="373" spans="1:15">
      <c r="A373" s="390"/>
      <c r="B373" s="252"/>
      <c r="C373" s="180"/>
      <c r="D373" s="180"/>
      <c r="E373" s="180"/>
      <c r="F373" s="180"/>
      <c r="G373" s="253"/>
      <c r="H373" s="28"/>
    </row>
    <row r="374" spans="1:15">
      <c r="A374" s="390"/>
      <c r="B374" s="252"/>
      <c r="C374" s="180"/>
      <c r="D374" s="180"/>
      <c r="E374" s="180"/>
      <c r="F374" s="180"/>
      <c r="G374" s="253"/>
      <c r="H374" s="28"/>
    </row>
    <row r="375" spans="1:15">
      <c r="A375" s="390"/>
      <c r="B375" s="252"/>
      <c r="C375" s="180"/>
      <c r="D375" s="180"/>
      <c r="E375" s="180"/>
      <c r="F375" s="180"/>
      <c r="G375" s="253"/>
      <c r="H375" s="28"/>
    </row>
    <row r="376" spans="1:15">
      <c r="A376" s="390"/>
      <c r="B376" s="252"/>
      <c r="C376" s="180"/>
      <c r="D376" s="180"/>
      <c r="E376" s="180"/>
      <c r="F376" s="180"/>
      <c r="G376" s="253"/>
      <c r="H376" s="28"/>
    </row>
    <row r="377" spans="1:15">
      <c r="A377" s="390"/>
      <c r="B377" s="252"/>
      <c r="C377" s="180"/>
      <c r="D377" s="180"/>
      <c r="E377" s="180"/>
      <c r="F377" s="180"/>
      <c r="G377" s="253"/>
      <c r="H377" s="28"/>
    </row>
    <row r="378" spans="1:15">
      <c r="A378" s="390"/>
      <c r="B378" s="252"/>
      <c r="C378" s="180"/>
      <c r="D378" s="180"/>
      <c r="E378" s="180"/>
      <c r="F378" s="180"/>
      <c r="G378" s="253"/>
      <c r="H378" s="28"/>
      <c r="N378">
        <f>1/3</f>
        <v>0.33333333333333331</v>
      </c>
      <c r="O378">
        <v>0.33</v>
      </c>
    </row>
    <row r="379" spans="1:15">
      <c r="A379" s="390"/>
      <c r="B379" s="252"/>
      <c r="C379" s="180"/>
      <c r="D379" s="180"/>
      <c r="E379" s="180"/>
      <c r="F379" s="180"/>
      <c r="G379" s="253"/>
      <c r="H379" s="28"/>
      <c r="N379">
        <f>1/6</f>
        <v>0.16666666666666666</v>
      </c>
      <c r="O379">
        <v>0.17</v>
      </c>
    </row>
    <row r="380" spans="1:15">
      <c r="A380" s="390"/>
      <c r="B380" s="252"/>
      <c r="C380" s="180"/>
      <c r="D380" s="180"/>
      <c r="E380" s="180"/>
      <c r="F380" s="180"/>
      <c r="G380" s="253"/>
      <c r="H380" s="28"/>
      <c r="N380">
        <f>1/12</f>
        <v>8.3333333333333329E-2</v>
      </c>
      <c r="O380">
        <v>8.3000000000000004E-2</v>
      </c>
    </row>
    <row r="381" spans="1:15">
      <c r="A381" s="390"/>
      <c r="B381" s="252"/>
      <c r="C381" s="180"/>
      <c r="D381" s="180"/>
      <c r="E381" s="180"/>
      <c r="F381" s="180"/>
      <c r="G381" s="253"/>
      <c r="H381" s="28"/>
    </row>
    <row r="382" spans="1:15">
      <c r="A382" s="390"/>
      <c r="B382" s="252"/>
      <c r="C382" s="180"/>
      <c r="D382" s="180"/>
      <c r="E382" s="180"/>
      <c r="F382" s="180"/>
      <c r="G382" s="253"/>
      <c r="H382" s="28"/>
    </row>
    <row r="383" spans="1:15">
      <c r="A383" s="390"/>
      <c r="B383" s="252"/>
      <c r="C383" s="180"/>
      <c r="D383" s="180"/>
      <c r="E383" s="180"/>
      <c r="F383" s="180"/>
      <c r="G383" s="253"/>
      <c r="H383" s="28"/>
    </row>
    <row r="384" spans="1:15">
      <c r="A384" s="390"/>
      <c r="B384" s="252"/>
      <c r="C384" s="180"/>
      <c r="D384" s="180"/>
      <c r="E384" s="180"/>
      <c r="F384" s="180"/>
      <c r="G384" s="253"/>
      <c r="H384" s="28"/>
    </row>
    <row r="385" spans="1:18">
      <c r="A385" s="390"/>
      <c r="B385" s="252"/>
      <c r="C385" s="180"/>
      <c r="D385" s="180"/>
      <c r="E385" s="180"/>
      <c r="F385" s="180"/>
      <c r="G385" s="253"/>
      <c r="H385" s="28"/>
    </row>
    <row r="386" spans="1:18">
      <c r="A386" s="390"/>
      <c r="B386" s="252"/>
      <c r="C386" s="180"/>
      <c r="D386" s="180"/>
      <c r="E386" s="180"/>
      <c r="F386" s="180"/>
      <c r="G386" s="253"/>
      <c r="H386" s="28"/>
    </row>
    <row r="387" spans="1:18">
      <c r="A387" s="390"/>
      <c r="B387" s="252"/>
      <c r="C387" s="180"/>
      <c r="D387" s="180"/>
      <c r="E387" s="180"/>
      <c r="F387" s="180"/>
      <c r="G387" s="253"/>
      <c r="H387" s="28"/>
    </row>
    <row r="388" spans="1:18">
      <c r="A388" s="390"/>
      <c r="B388" s="252"/>
      <c r="C388" s="180"/>
      <c r="D388" s="180"/>
      <c r="E388" s="180"/>
      <c r="F388" s="180"/>
      <c r="G388" s="253"/>
      <c r="H388" s="28"/>
    </row>
    <row r="389" spans="1:18" ht="121.15" customHeight="1" thickBot="1">
      <c r="A389" s="391"/>
      <c r="B389" s="254"/>
      <c r="C389" s="354"/>
      <c r="D389" s="354"/>
      <c r="E389" s="354"/>
      <c r="F389" s="354"/>
      <c r="G389" s="355"/>
      <c r="H389" s="127"/>
    </row>
    <row r="390" spans="1:18">
      <c r="A390" s="99"/>
      <c r="B390" s="180"/>
      <c r="C390" s="180"/>
      <c r="D390" s="180"/>
      <c r="E390" s="180"/>
      <c r="F390" s="180"/>
      <c r="G390" s="180"/>
    </row>
    <row r="391" spans="1:18">
      <c r="A391" s="99"/>
      <c r="B391" s="180"/>
      <c r="C391" s="180"/>
      <c r="D391" s="180"/>
      <c r="E391" s="180"/>
      <c r="F391" s="180"/>
      <c r="G391" s="180"/>
    </row>
    <row r="392" spans="1:18" ht="15.75" thickBot="1">
      <c r="A392" s="99"/>
      <c r="B392" s="180"/>
      <c r="C392" s="180"/>
      <c r="D392" s="180"/>
      <c r="E392" s="180"/>
      <c r="F392" s="180"/>
      <c r="G392" s="180"/>
    </row>
    <row r="393" spans="1:18" ht="15.75" thickBot="1">
      <c r="A393" s="99"/>
      <c r="B393" s="180"/>
      <c r="C393" s="180"/>
      <c r="D393" s="180"/>
      <c r="E393" s="180"/>
      <c r="F393" s="180"/>
      <c r="G393" s="180"/>
      <c r="O393" s="400" t="s">
        <v>247</v>
      </c>
      <c r="P393" s="401"/>
      <c r="Q393" s="401"/>
      <c r="R393" s="402"/>
    </row>
    <row r="394" spans="1:18" ht="15.75" thickBot="1">
      <c r="B394" s="110" t="s">
        <v>248</v>
      </c>
      <c r="C394" s="118"/>
      <c r="D394" s="118"/>
      <c r="E394" s="118"/>
      <c r="F394" s="118"/>
      <c r="G394" s="118"/>
    </row>
    <row r="395" spans="1:18" ht="15.75" thickBot="1">
      <c r="B395" s="118" t="s">
        <v>249</v>
      </c>
      <c r="C395" s="116">
        <f>+C283*0.8*100</f>
        <v>40</v>
      </c>
      <c r="D395" s="116">
        <f>+D283*0.8*100</f>
        <v>40</v>
      </c>
      <c r="E395" s="116">
        <f>+E283*0.8*100</f>
        <v>40</v>
      </c>
      <c r="F395" s="116">
        <f>+F283*0.8*100</f>
        <v>40</v>
      </c>
      <c r="G395" s="118" t="s">
        <v>250</v>
      </c>
      <c r="J395" s="400" t="str">
        <f>"DIAGRAMA PEDESTAL "&amp;C38</f>
        <v>DIAGRAMA PEDESTAL 1</v>
      </c>
      <c r="K395" s="402"/>
      <c r="L395" s="309" t="s">
        <v>251</v>
      </c>
      <c r="M395" s="310"/>
      <c r="N395" s="111"/>
      <c r="O395" s="400" t="str">
        <f>"DIAGRAMA PEDESTAL " &amp;D38</f>
        <v>DIAGRAMA PEDESTAL 1</v>
      </c>
      <c r="P395" s="402"/>
      <c r="Q395" s="400" t="s">
        <v>251</v>
      </c>
      <c r="R395" s="402"/>
    </row>
    <row r="396" spans="1:18">
      <c r="B396" s="118" t="s">
        <v>252</v>
      </c>
      <c r="C396" s="117">
        <f>+(C283*100)^2/C395</f>
        <v>62.5</v>
      </c>
      <c r="D396" s="117">
        <f>+(D283*100)^2/D395</f>
        <v>62.5</v>
      </c>
      <c r="E396" s="117">
        <f>+(E283*100)^2/E395</f>
        <v>62.5</v>
      </c>
      <c r="F396" s="117">
        <f>+(F283*100)^2/F395</f>
        <v>62.5</v>
      </c>
      <c r="G396" s="118" t="s">
        <v>250</v>
      </c>
      <c r="J396" s="112" t="s">
        <v>253</v>
      </c>
      <c r="K396" s="112" t="s">
        <v>254</v>
      </c>
      <c r="L396" s="112" t="s">
        <v>158</v>
      </c>
      <c r="M396" s="112" t="s">
        <v>255</v>
      </c>
      <c r="N396" s="111"/>
      <c r="O396" s="112" t="s">
        <v>253</v>
      </c>
      <c r="P396" s="112" t="s">
        <v>254</v>
      </c>
      <c r="Q396" s="112" t="s">
        <v>158</v>
      </c>
      <c r="R396" s="112" t="s">
        <v>255</v>
      </c>
    </row>
    <row r="397" spans="1:18">
      <c r="B397" s="118" t="s">
        <v>256</v>
      </c>
      <c r="C397" s="119" t="str">
        <f>+C354</f>
        <v>verificar</v>
      </c>
      <c r="D397" s="119" t="str">
        <f>+D354</f>
        <v>verificar</v>
      </c>
      <c r="E397" s="119" t="str">
        <f>+E354</f>
        <v>verificar</v>
      </c>
      <c r="F397" s="119" t="str">
        <f>+F354</f>
        <v>verificar</v>
      </c>
      <c r="G397" s="118" t="s">
        <v>257</v>
      </c>
      <c r="J397" s="113">
        <v>0</v>
      </c>
      <c r="K397" s="114" t="e">
        <f>+C408</f>
        <v>#VALUE!</v>
      </c>
      <c r="L397" s="115">
        <f>+C330</f>
        <v>285.99315368194465</v>
      </c>
      <c r="M397" s="115">
        <f>+C342</f>
        <v>-1224.5999999999999</v>
      </c>
      <c r="N397" s="111"/>
      <c r="O397" s="113">
        <v>0</v>
      </c>
      <c r="P397" s="114" t="e">
        <f>+D408</f>
        <v>#VALUE!</v>
      </c>
      <c r="Q397" s="115">
        <f>+D330</f>
        <v>290.42054758459562</v>
      </c>
      <c r="R397" s="115">
        <f>+D342</f>
        <v>-1224.5999999999999</v>
      </c>
    </row>
    <row r="398" spans="1:18">
      <c r="B398" s="118" t="s">
        <v>258</v>
      </c>
      <c r="C398" s="115" t="e">
        <f>+C397/2</f>
        <v>#VALUE!</v>
      </c>
      <c r="D398" s="115" t="e">
        <f>+D397/2</f>
        <v>#VALUE!</v>
      </c>
      <c r="E398" s="115" t="e">
        <f>+E397/2</f>
        <v>#VALUE!</v>
      </c>
      <c r="F398" s="115" t="e">
        <f>+F397/2</f>
        <v>#VALUE!</v>
      </c>
      <c r="G398" s="118" t="s">
        <v>257</v>
      </c>
      <c r="J398" s="116" t="e">
        <f>+C405</f>
        <v>#VALUE!</v>
      </c>
      <c r="K398" s="116" t="e">
        <f>+C404</f>
        <v>#VALUE!</v>
      </c>
      <c r="L398" s="115">
        <f>+C331</f>
        <v>92.249999999999986</v>
      </c>
      <c r="M398" s="115">
        <f>+C343</f>
        <v>950.4</v>
      </c>
      <c r="N398" s="111"/>
      <c r="O398" s="116" t="e">
        <f>+D405</f>
        <v>#VALUE!</v>
      </c>
      <c r="P398" s="114" t="e">
        <f>+D404</f>
        <v>#VALUE!</v>
      </c>
      <c r="Q398" s="115">
        <f>+D331</f>
        <v>92.249999999999986</v>
      </c>
      <c r="R398" s="115">
        <f>+D343</f>
        <v>950.4</v>
      </c>
    </row>
    <row r="399" spans="1:18">
      <c r="B399" s="118" t="s">
        <v>259</v>
      </c>
      <c r="C399" s="118">
        <f>+C395-2*C45*100</f>
        <v>30</v>
      </c>
      <c r="D399" s="118">
        <f>+D395-2*D45*100</f>
        <v>30</v>
      </c>
      <c r="E399" s="118">
        <f>+E395-2*E45*100</f>
        <v>30</v>
      </c>
      <c r="F399" s="118">
        <f>+F395-2*F45*100</f>
        <v>30</v>
      </c>
      <c r="G399" s="118" t="s">
        <v>250</v>
      </c>
      <c r="J399" s="117" t="e">
        <f>+C410</f>
        <v>#VALUE!</v>
      </c>
      <c r="K399" s="118">
        <v>0</v>
      </c>
      <c r="L399" s="115">
        <f>+C333</f>
        <v>215.24999999999997</v>
      </c>
      <c r="M399" s="115">
        <f>+C345</f>
        <v>275.39999999999998</v>
      </c>
      <c r="N399" s="111"/>
      <c r="O399" s="117" t="e">
        <f>+D410</f>
        <v>#VALUE!</v>
      </c>
      <c r="P399" s="114">
        <v>0</v>
      </c>
      <c r="Q399" s="115">
        <f>+D333</f>
        <v>215.24999999999997</v>
      </c>
      <c r="R399" s="115">
        <f>+D345</f>
        <v>275.39999999999998</v>
      </c>
    </row>
    <row r="400" spans="1:18">
      <c r="B400" s="118" t="s">
        <v>203</v>
      </c>
      <c r="C400" s="115">
        <f>+C395-C45*100</f>
        <v>35</v>
      </c>
      <c r="D400" s="115">
        <f>+D395-D45*100</f>
        <v>35</v>
      </c>
      <c r="E400" s="115">
        <f>+E395-E45*100</f>
        <v>35</v>
      </c>
      <c r="F400" s="115">
        <f>+F395-F45*100</f>
        <v>35</v>
      </c>
      <c r="G400" s="118" t="s">
        <v>250</v>
      </c>
      <c r="J400" s="118">
        <v>0</v>
      </c>
      <c r="K400" s="117" t="e">
        <f>+C409</f>
        <v>#VALUE!</v>
      </c>
      <c r="L400" s="115">
        <f>+C332</f>
        <v>187.04201070584804</v>
      </c>
      <c r="M400" s="115">
        <f>+C344</f>
        <v>-24.599999999999998</v>
      </c>
      <c r="N400" s="111"/>
      <c r="O400" s="118">
        <v>0</v>
      </c>
      <c r="P400" s="114" t="e">
        <f>+D409</f>
        <v>#VALUE!</v>
      </c>
      <c r="Q400" s="115">
        <f>+D332</f>
        <v>187.22505715961771</v>
      </c>
      <c r="R400" s="115">
        <f>+D344</f>
        <v>-24.599999999999998</v>
      </c>
    </row>
    <row r="401" spans="2:27" ht="15.75" thickBot="1">
      <c r="B401" s="118" t="s">
        <v>260</v>
      </c>
      <c r="C401" s="115">
        <f>6100/(6100+C286*10)*C400</f>
        <v>20.728155339805824</v>
      </c>
      <c r="D401" s="115">
        <f>6100/(6100+D286*10)*D400</f>
        <v>20.728155339805824</v>
      </c>
      <c r="E401" s="115">
        <f>6100/(6100+E286*10)*E400</f>
        <v>20.728155339805824</v>
      </c>
      <c r="F401" s="115">
        <f>6100/(6100+F286*10)*F400</f>
        <v>20.728155339805824</v>
      </c>
      <c r="G401" s="118" t="s">
        <v>250</v>
      </c>
      <c r="J401" s="111"/>
      <c r="K401" s="111"/>
      <c r="L401" s="111"/>
      <c r="M401" s="111"/>
      <c r="N401" s="111"/>
      <c r="O401" s="111"/>
      <c r="P401" s="111"/>
      <c r="Q401" s="111"/>
      <c r="R401" s="111"/>
    </row>
    <row r="402" spans="2:27" ht="15.75" thickBot="1">
      <c r="B402" s="118" t="s">
        <v>261</v>
      </c>
      <c r="C402" s="115">
        <f>0.85*C401</f>
        <v>17.618932038834949</v>
      </c>
      <c r="D402" s="115">
        <f>0.85*D401</f>
        <v>17.618932038834949</v>
      </c>
      <c r="E402" s="115">
        <f>0.85*E401</f>
        <v>17.618932038834949</v>
      </c>
      <c r="F402" s="115">
        <f>0.85*F401</f>
        <v>17.618932038834949</v>
      </c>
      <c r="G402" s="118" t="s">
        <v>250</v>
      </c>
      <c r="J402" s="400" t="str">
        <f xml:space="preserve"> "DIAGRAMA PEDESTAL " &amp;E38</f>
        <v>DIAGRAMA PEDESTAL 1</v>
      </c>
      <c r="K402" s="402"/>
      <c r="L402" s="309" t="s">
        <v>251</v>
      </c>
      <c r="M402" s="310"/>
      <c r="N402" s="111"/>
      <c r="O402" s="400" t="str">
        <f>"DIAGRAMA PEDESTAL " &amp;F38</f>
        <v>DIAGRAMA PEDESTAL 1</v>
      </c>
      <c r="P402" s="402"/>
      <c r="Q402" s="400" t="s">
        <v>251</v>
      </c>
      <c r="R402" s="402"/>
    </row>
    <row r="403" spans="2:27">
      <c r="B403" s="118" t="s">
        <v>262</v>
      </c>
      <c r="C403" s="117">
        <f>IF(0.003*2000000*(C401-$C$45*100)/C401&gt;=C286*10,C286*10,0.003*2000000*(C401-$C$45*100)/C401)</f>
        <v>4200</v>
      </c>
      <c r="D403" s="117">
        <f>IF(0.003*2000000*(D401-$C$45*100)/D401&gt;=D286*10,D286*10,0.003*2000000*(D401-$C$45*100)/D401)</f>
        <v>4200</v>
      </c>
      <c r="E403" s="117">
        <f>IF(0.003*2000000*(E401-$C$45*100)/E401&gt;=E286*10,E286*10,0.003*2000000*(E401-$C$45*100)/E401)</f>
        <v>4200</v>
      </c>
      <c r="F403" s="117">
        <f>IF(0.003*2000000*(F401-$C$45*100)/F401&gt;=F286*10,F286*10,0.003*2000000*(F401-$C$45*100)/F401)</f>
        <v>4200</v>
      </c>
      <c r="G403" s="118" t="s">
        <v>263</v>
      </c>
      <c r="J403" s="112" t="s">
        <v>253</v>
      </c>
      <c r="K403" s="112" t="s">
        <v>254</v>
      </c>
      <c r="L403" s="112" t="s">
        <v>158</v>
      </c>
      <c r="M403" s="112" t="s">
        <v>255</v>
      </c>
      <c r="N403" s="111"/>
      <c r="O403" s="112" t="s">
        <v>253</v>
      </c>
      <c r="P403" s="112" t="s">
        <v>254</v>
      </c>
      <c r="Q403" s="112" t="s">
        <v>158</v>
      </c>
      <c r="R403" s="112" t="s">
        <v>255</v>
      </c>
    </row>
    <row r="404" spans="2:27">
      <c r="B404" s="120" t="s">
        <v>264</v>
      </c>
      <c r="C404" s="116" t="e">
        <f>0.65*(0.85*C285*10*C396*C402+C398*C403-C398*C286*10)/100</f>
        <v>#VALUE!</v>
      </c>
      <c r="D404" s="116" t="e">
        <f>0.65*(0.85*D285*10*D396*D402+D398*D403-D398*D286*10)/100</f>
        <v>#VALUE!</v>
      </c>
      <c r="E404" s="116" t="e">
        <f>0.65*(0.85*E285*10*E396*E402+E398*E403-E398*E286*10)/100</f>
        <v>#VALUE!</v>
      </c>
      <c r="F404" s="116" t="e">
        <f>0.65*(0.85*F285*10*F396*F402+F398*F403-F398*F286*10)/100</f>
        <v>#VALUE!</v>
      </c>
      <c r="G404" s="118" t="s">
        <v>41</v>
      </c>
      <c r="J404" s="113">
        <v>0</v>
      </c>
      <c r="K404" s="114" t="e">
        <f>+E408</f>
        <v>#VALUE!</v>
      </c>
      <c r="L404" s="115">
        <f>+E330</f>
        <v>290.42054758459562</v>
      </c>
      <c r="M404" s="115">
        <f>+E342</f>
        <v>-1224.5999999999999</v>
      </c>
      <c r="N404" s="111"/>
      <c r="O404" s="113">
        <v>0</v>
      </c>
      <c r="P404" s="114" t="e">
        <f>+F408</f>
        <v>#VALUE!</v>
      </c>
      <c r="Q404" s="115">
        <f>+F330</f>
        <v>290.42054758459562</v>
      </c>
      <c r="R404" s="115">
        <f>+F342</f>
        <v>-1224.5999999999999</v>
      </c>
    </row>
    <row r="405" spans="2:27">
      <c r="B405" s="120" t="s">
        <v>265</v>
      </c>
      <c r="C405" s="116" t="e">
        <f>0.65*(0.85*C285*10*C395*C402*(0.5*C395-C402/2)+C398*C403*(0.5*C395-C45*10)+C398*C286*10*(C400-0.5*C395))/10000</f>
        <v>#VALUE!</v>
      </c>
      <c r="D405" s="116" t="e">
        <f>0.65*(0.85*D285*10*D395*D402*(0.5*D395-D402/2)+D398*D403*(0.5*D395-D45*10)+D398*D286*10*(D400-0.5*D395))/10000</f>
        <v>#VALUE!</v>
      </c>
      <c r="E405" s="116" t="e">
        <f>0.65*(0.85*E285*10*E395*E402*(0.5*E395-E402/2)+E398*E403*(0.5*E395-E45*10)+E398*E286*10*(E400-0.5*E395))/10000</f>
        <v>#VALUE!</v>
      </c>
      <c r="F405" s="116" t="e">
        <f>0.65*(0.85*F285*10*F395*F402*(0.5*F395-F402/2)+F398*F403*(0.5*F395-F45*10)+F398*F286*10*(F400-0.5*F395))/10000</f>
        <v>#VALUE!</v>
      </c>
      <c r="G405" s="118" t="s">
        <v>77</v>
      </c>
      <c r="J405" s="116" t="e">
        <f>+E405</f>
        <v>#VALUE!</v>
      </c>
      <c r="K405" s="114" t="e">
        <f>+E404</f>
        <v>#VALUE!</v>
      </c>
      <c r="L405" s="115">
        <f>+E331</f>
        <v>92.249999999999986</v>
      </c>
      <c r="M405" s="115">
        <f>+E343</f>
        <v>950.4</v>
      </c>
      <c r="N405" s="111"/>
      <c r="O405" s="116" t="e">
        <f>+F405</f>
        <v>#VALUE!</v>
      </c>
      <c r="P405" s="114" t="e">
        <f>+F404</f>
        <v>#VALUE!</v>
      </c>
      <c r="Q405" s="115">
        <f>+F331</f>
        <v>92.249999999999986</v>
      </c>
      <c r="R405" s="115">
        <f>+F343</f>
        <v>950.4</v>
      </c>
    </row>
    <row r="406" spans="2:27">
      <c r="B406" s="120" t="s">
        <v>266</v>
      </c>
      <c r="C406" s="121" t="e">
        <f>+C405/C404</f>
        <v>#VALUE!</v>
      </c>
      <c r="D406" s="121" t="e">
        <f>+D405/D404</f>
        <v>#VALUE!</v>
      </c>
      <c r="E406" s="121" t="e">
        <f>+E405/E404</f>
        <v>#VALUE!</v>
      </c>
      <c r="F406" s="121" t="e">
        <f>+F405/F404</f>
        <v>#VALUE!</v>
      </c>
      <c r="G406" s="118" t="s">
        <v>50</v>
      </c>
      <c r="J406" s="117" t="e">
        <f>+E410</f>
        <v>#VALUE!</v>
      </c>
      <c r="K406" s="114">
        <v>0</v>
      </c>
      <c r="L406" s="115">
        <f>+E333</f>
        <v>215.24999999999997</v>
      </c>
      <c r="M406" s="115">
        <f>+E345</f>
        <v>275.39999999999998</v>
      </c>
      <c r="N406" s="111"/>
      <c r="O406" s="117" t="e">
        <f>+F410</f>
        <v>#VALUE!</v>
      </c>
      <c r="P406" s="114">
        <v>0</v>
      </c>
      <c r="Q406" s="115">
        <f>+F333</f>
        <v>215.24999999999997</v>
      </c>
      <c r="R406" s="115">
        <f>+F345</f>
        <v>275.39999999999998</v>
      </c>
    </row>
    <row r="407" spans="2:27">
      <c r="B407" s="118"/>
      <c r="C407" s="118"/>
      <c r="D407" s="118"/>
      <c r="E407" s="118"/>
      <c r="F407" s="118"/>
      <c r="G407" s="118"/>
      <c r="J407" s="118">
        <v>0</v>
      </c>
      <c r="K407" s="114" t="e">
        <f>E409</f>
        <v>#VALUE!</v>
      </c>
      <c r="L407" s="115">
        <f>+E332</f>
        <v>187.22505715961771</v>
      </c>
      <c r="M407" s="115">
        <f>+E344</f>
        <v>-24.599999999999998</v>
      </c>
      <c r="N407" s="111"/>
      <c r="O407" s="118">
        <v>0</v>
      </c>
      <c r="P407" s="114" t="e">
        <f>F409</f>
        <v>#VALUE!</v>
      </c>
      <c r="Q407" s="115">
        <f>+F332</f>
        <v>187.22505715961771</v>
      </c>
      <c r="R407" s="115">
        <f>+F344</f>
        <v>-24.599999999999998</v>
      </c>
    </row>
    <row r="408" spans="2:27">
      <c r="B408" s="120" t="s">
        <v>267</v>
      </c>
      <c r="C408" s="116" t="e">
        <f>0.75*(0.8*0.85*C285*10*(C395*C396-C397)+C397*C286*10)/100</f>
        <v>#VALUE!</v>
      </c>
      <c r="D408" s="116" t="e">
        <f>0.75*(0.8*0.85*D285*10*(D395*D396-D397)+D397*D286*10)/100</f>
        <v>#VALUE!</v>
      </c>
      <c r="E408" s="116" t="e">
        <f>0.75*(0.8*0.85*E285*10*(E395*E396-E397)+E397*E286*10)/100</f>
        <v>#VALUE!</v>
      </c>
      <c r="F408" s="116" t="e">
        <f>0.75*(0.8*0.85*F285*10*(F395*F396-F397)+F397*F286*10)/100</f>
        <v>#VALUE!</v>
      </c>
      <c r="G408" s="118" t="s">
        <v>41</v>
      </c>
      <c r="X408" s="381"/>
      <c r="Y408" s="381"/>
      <c r="Z408" s="381"/>
      <c r="AA408" s="381"/>
    </row>
    <row r="409" spans="2:27">
      <c r="B409" s="120" t="s">
        <v>268</v>
      </c>
      <c r="C409" s="117" t="e">
        <f>-C397*C286*10/100*0.9</f>
        <v>#VALUE!</v>
      </c>
      <c r="D409" s="117" t="e">
        <f>-D397*D286*10/100*0.9</f>
        <v>#VALUE!</v>
      </c>
      <c r="E409" s="117" t="e">
        <f>-E397*E286*10/100*0.9</f>
        <v>#VALUE!</v>
      </c>
      <c r="F409" s="117" t="e">
        <f>-F397*F286*10/100*0.9</f>
        <v>#VALUE!</v>
      </c>
      <c r="G409" s="118" t="s">
        <v>41</v>
      </c>
      <c r="X409" s="180"/>
      <c r="Y409" s="180"/>
      <c r="Z409" s="180"/>
      <c r="AA409" s="180"/>
    </row>
    <row r="410" spans="2:27">
      <c r="B410" s="120" t="s">
        <v>269</v>
      </c>
      <c r="C410" s="117" t="e">
        <f>C398*C286*10*(C400-(C398*C286*10/(0.85*C285*10*C396))/2)/10000*0.9</f>
        <v>#VALUE!</v>
      </c>
      <c r="D410" s="117" t="e">
        <f>D398*D286*10*(D400-(D398*D286*10/(0.85*D285*10*D396))/2)/10000*0.9</f>
        <v>#VALUE!</v>
      </c>
      <c r="E410" s="117" t="e">
        <f>E398*E286*10*(E400-(E398*E286*10/(0.85*E285*10*E396))/2)/10000*0.9</f>
        <v>#VALUE!</v>
      </c>
      <c r="F410" s="117" t="e">
        <f>F398*F286*10*(F400-(F398*F286*10/(0.85*F285*10*F396))/2)/10000*0.9</f>
        <v>#VALUE!</v>
      </c>
      <c r="G410" s="118" t="s">
        <v>77</v>
      </c>
      <c r="X410" s="100"/>
      <c r="Y410" s="101"/>
      <c r="Z410" s="4"/>
      <c r="AA410" s="4"/>
    </row>
    <row r="411" spans="2:27">
      <c r="B411" s="120" t="s">
        <v>270</v>
      </c>
      <c r="C411" s="116">
        <f>0.1*C285*10*C352/100</f>
        <v>525</v>
      </c>
      <c r="D411" s="116">
        <f>0.1*D285*10*D352/100</f>
        <v>525</v>
      </c>
      <c r="E411" s="116">
        <f>0.1*E285*10*E352/100</f>
        <v>525</v>
      </c>
      <c r="F411" s="116">
        <f>0.1*F285*10*F352/100</f>
        <v>525</v>
      </c>
      <c r="G411" s="118" t="s">
        <v>41</v>
      </c>
      <c r="X411" s="30"/>
      <c r="Y411" s="101"/>
      <c r="Z411" s="4"/>
      <c r="AA411" s="4"/>
    </row>
    <row r="412" spans="2:27">
      <c r="C412" s="100"/>
      <c r="D412" s="100"/>
      <c r="E412" s="100"/>
      <c r="F412" s="100"/>
      <c r="X412" s="102"/>
      <c r="Y412" s="101"/>
      <c r="Z412" s="4"/>
      <c r="AA412" s="4"/>
    </row>
    <row r="413" spans="2:27">
      <c r="Y413" s="101"/>
      <c r="Z413" s="4"/>
      <c r="AA413" s="4"/>
    </row>
    <row r="429" spans="2:2">
      <c r="B429" s="79"/>
    </row>
  </sheetData>
  <mergeCells count="23">
    <mergeCell ref="X408:Y408"/>
    <mergeCell ref="Z408:AA408"/>
    <mergeCell ref="A370:A389"/>
    <mergeCell ref="O393:R393"/>
    <mergeCell ref="J402:K402"/>
    <mergeCell ref="O402:P402"/>
    <mergeCell ref="Q402:R402"/>
    <mergeCell ref="J395:K395"/>
    <mergeCell ref="O395:P395"/>
    <mergeCell ref="Q395:R395"/>
    <mergeCell ref="AJ3:AM3"/>
    <mergeCell ref="F6:G6"/>
    <mergeCell ref="K257:L257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</mergeCells>
  <conditionalFormatting sqref="AI8:AI9 AI11 AF8 AF10">
    <cfRule type="expression" dxfId="80" priority="81">
      <formula>AF8&gt;AF7</formula>
    </cfRule>
  </conditionalFormatting>
  <conditionalFormatting sqref="AI6 AF6">
    <cfRule type="expression" dxfId="79" priority="79">
      <formula>AF6&gt;AF5</formula>
    </cfRule>
  </conditionalFormatting>
  <conditionalFormatting sqref="AH8:AH9 AH11">
    <cfRule type="expression" dxfId="78" priority="78">
      <formula>AH8&gt;AH7</formula>
    </cfRule>
  </conditionalFormatting>
  <conditionalFormatting sqref="AH6">
    <cfRule type="expression" dxfId="77" priority="76">
      <formula>AH6&gt;AH5</formula>
    </cfRule>
  </conditionalFormatting>
  <conditionalFormatting sqref="AF11:AF12">
    <cfRule type="expression" dxfId="76" priority="82">
      <formula>AF11&lt;AG1048567</formula>
    </cfRule>
  </conditionalFormatting>
  <conditionalFormatting sqref="C62:F62">
    <cfRule type="cellIs" dxfId="75" priority="74" operator="notEqual">
      <formula>"OK"</formula>
    </cfRule>
    <cfRule type="cellIs" dxfId="74" priority="75" operator="equal">
      <formula>"OK"</formula>
    </cfRule>
  </conditionalFormatting>
  <conditionalFormatting sqref="C99:F99">
    <cfRule type="cellIs" dxfId="73" priority="70" operator="notEqual">
      <formula>"OK"</formula>
    </cfRule>
    <cfRule type="cellIs" dxfId="72" priority="71" operator="equal">
      <formula>"OK"</formula>
    </cfRule>
  </conditionalFormatting>
  <conditionalFormatting sqref="C123:F123">
    <cfRule type="cellIs" dxfId="71" priority="68" operator="notEqual">
      <formula>"OK"</formula>
    </cfRule>
    <cfRule type="cellIs" dxfId="70" priority="69" operator="equal">
      <formula>"OK"</formula>
    </cfRule>
  </conditionalFormatting>
  <conditionalFormatting sqref="C230">
    <cfRule type="cellIs" dxfId="69" priority="66" operator="notEqual">
      <formula>"OK"</formula>
    </cfRule>
    <cfRule type="cellIs" dxfId="68" priority="67" operator="equal">
      <formula>"OK"</formula>
    </cfRule>
  </conditionalFormatting>
  <conditionalFormatting sqref="D230">
    <cfRule type="cellIs" dxfId="67" priority="64" operator="notEqual">
      <formula>"OK"</formula>
    </cfRule>
    <cfRule type="cellIs" dxfId="66" priority="65" operator="equal">
      <formula>"OK"</formula>
    </cfRule>
  </conditionalFormatting>
  <conditionalFormatting sqref="E230">
    <cfRule type="cellIs" dxfId="65" priority="62" operator="notEqual">
      <formula>"OK"</formula>
    </cfRule>
    <cfRule type="cellIs" dxfId="64" priority="63" operator="equal">
      <formula>"OK"</formula>
    </cfRule>
  </conditionalFormatting>
  <conditionalFormatting sqref="F230">
    <cfRule type="cellIs" dxfId="63" priority="60" operator="notEqual">
      <formula>"OK"</formula>
    </cfRule>
    <cfRule type="cellIs" dxfId="62" priority="61" operator="equal">
      <formula>"OK"</formula>
    </cfRule>
  </conditionalFormatting>
  <conditionalFormatting sqref="C236">
    <cfRule type="cellIs" dxfId="61" priority="58" operator="notEqual">
      <formula>"OK"</formula>
    </cfRule>
    <cfRule type="cellIs" dxfId="60" priority="59" operator="equal">
      <formula>"OK"</formula>
    </cfRule>
  </conditionalFormatting>
  <conditionalFormatting sqref="D236">
    <cfRule type="cellIs" dxfId="59" priority="56" operator="notEqual">
      <formula>"OK"</formula>
    </cfRule>
    <cfRule type="cellIs" dxfId="58" priority="57" operator="equal">
      <formula>"OK"</formula>
    </cfRule>
  </conditionalFormatting>
  <conditionalFormatting sqref="E236">
    <cfRule type="cellIs" dxfId="57" priority="54" operator="notEqual">
      <formula>"OK"</formula>
    </cfRule>
    <cfRule type="cellIs" dxfId="56" priority="55" operator="equal">
      <formula>"OK"</formula>
    </cfRule>
  </conditionalFormatting>
  <conditionalFormatting sqref="F236">
    <cfRule type="cellIs" dxfId="55" priority="52" operator="notEqual">
      <formula>"OK"</formula>
    </cfRule>
    <cfRule type="cellIs" dxfId="54" priority="53" operator="equal">
      <formula>"OK"</formula>
    </cfRule>
  </conditionalFormatting>
  <conditionalFormatting sqref="C368">
    <cfRule type="cellIs" dxfId="53" priority="50" operator="notEqual">
      <formula>"OK"</formula>
    </cfRule>
    <cfRule type="cellIs" dxfId="52" priority="51" operator="equal">
      <formula>"OK"</formula>
    </cfRule>
  </conditionalFormatting>
  <conditionalFormatting sqref="D368">
    <cfRule type="cellIs" dxfId="51" priority="48" operator="notEqual">
      <formula>"OK"</formula>
    </cfRule>
    <cfRule type="cellIs" dxfId="50" priority="49" operator="equal">
      <formula>"OK"</formula>
    </cfRule>
  </conditionalFormatting>
  <conditionalFormatting sqref="E368">
    <cfRule type="cellIs" dxfId="49" priority="46" operator="notEqual">
      <formula>"OK"</formula>
    </cfRule>
    <cfRule type="cellIs" dxfId="48" priority="47" operator="equal">
      <formula>"OK"</formula>
    </cfRule>
  </conditionalFormatting>
  <conditionalFormatting sqref="F368">
    <cfRule type="cellIs" dxfId="47" priority="44" operator="notEqual">
      <formula>"OK"</formula>
    </cfRule>
    <cfRule type="cellIs" dxfId="46" priority="45" operator="equal">
      <formula>"OK"</formula>
    </cfRule>
  </conditionalFormatting>
  <conditionalFormatting sqref="D30:G33">
    <cfRule type="cellIs" dxfId="45" priority="43" operator="lessThan">
      <formula>0</formula>
    </cfRule>
  </conditionalFormatting>
  <conditionalFormatting sqref="H30">
    <cfRule type="cellIs" dxfId="44" priority="42" operator="greaterThan">
      <formula>0</formula>
    </cfRule>
  </conditionalFormatting>
  <conditionalFormatting sqref="H31">
    <cfRule type="cellIs" dxfId="43" priority="41" operator="lessThan">
      <formula>0</formula>
    </cfRule>
  </conditionalFormatting>
  <conditionalFormatting sqref="C30">
    <cfRule type="cellIs" dxfId="42" priority="40" operator="greaterThan">
      <formula>0</formula>
    </cfRule>
  </conditionalFormatting>
  <conditionalFormatting sqref="C31">
    <cfRule type="cellIs" dxfId="41" priority="39" operator="lessThan">
      <formula>0</formula>
    </cfRule>
  </conditionalFormatting>
  <conditionalFormatting sqref="C145:F145">
    <cfRule type="cellIs" dxfId="40" priority="37" operator="notEqual">
      <formula>"OK"</formula>
    </cfRule>
    <cfRule type="cellIs" dxfId="39" priority="38" operator="equal">
      <formula>"OK"</formula>
    </cfRule>
  </conditionalFormatting>
  <conditionalFormatting sqref="C167:F167">
    <cfRule type="cellIs" dxfId="38" priority="35" operator="notEqual">
      <formula>"OK"</formula>
    </cfRule>
    <cfRule type="cellIs" dxfId="37" priority="36" operator="equal">
      <formula>"OK"</formula>
    </cfRule>
  </conditionalFormatting>
  <conditionalFormatting sqref="C189:F189">
    <cfRule type="cellIs" dxfId="36" priority="33" operator="notEqual">
      <formula>"OK"</formula>
    </cfRule>
    <cfRule type="cellIs" dxfId="35" priority="34" operator="equal">
      <formula>"OK"</formula>
    </cfRule>
  </conditionalFormatting>
  <conditionalFormatting sqref="C114:F115">
    <cfRule type="cellIs" dxfId="34" priority="32" operator="greaterThan">
      <formula>$C$42/6</formula>
    </cfRule>
  </conditionalFormatting>
  <conditionalFormatting sqref="C136:F137">
    <cfRule type="cellIs" dxfId="33" priority="31" operator="greaterThan">
      <formula>$C$42/6</formula>
    </cfRule>
  </conditionalFormatting>
  <conditionalFormatting sqref="C158:F159">
    <cfRule type="cellIs" dxfId="32" priority="30" operator="greaterThan">
      <formula>$C$42/6</formula>
    </cfRule>
  </conditionalFormatting>
  <conditionalFormatting sqref="D207:F208">
    <cfRule type="cellIs" dxfId="31" priority="28" operator="greaterThan">
      <formula>$C$42/6</formula>
    </cfRule>
  </conditionalFormatting>
  <conditionalFormatting sqref="C245:F245">
    <cfRule type="cellIs" dxfId="30" priority="27" operator="greaterThan">
      <formula>0.25</formula>
    </cfRule>
  </conditionalFormatting>
  <conditionalFormatting sqref="C254:F254">
    <cfRule type="cellIs" dxfId="29" priority="26" operator="greaterThan">
      <formula>0.25</formula>
    </cfRule>
  </conditionalFormatting>
  <conditionalFormatting sqref="C360">
    <cfRule type="cellIs" dxfId="28" priority="25" operator="greaterThan">
      <formula>0.3</formula>
    </cfRule>
  </conditionalFormatting>
  <conditionalFormatting sqref="D23:G25 F22:G22">
    <cfRule type="cellIs" dxfId="27" priority="24" operator="lessThan">
      <formula>0</formula>
    </cfRule>
  </conditionalFormatting>
  <conditionalFormatting sqref="H22">
    <cfRule type="cellIs" dxfId="26" priority="23" operator="greaterThan">
      <formula>0</formula>
    </cfRule>
  </conditionalFormatting>
  <conditionalFormatting sqref="H23">
    <cfRule type="cellIs" dxfId="25" priority="22" operator="lessThan">
      <formula>0</formula>
    </cfRule>
  </conditionalFormatting>
  <conditionalFormatting sqref="C22">
    <cfRule type="cellIs" dxfId="24" priority="21" operator="greaterThan">
      <formula>0</formula>
    </cfRule>
  </conditionalFormatting>
  <conditionalFormatting sqref="C23:E23">
    <cfRule type="cellIs" dxfId="23" priority="20" operator="lessThan">
      <formula>0</formula>
    </cfRule>
  </conditionalFormatting>
  <conditionalFormatting sqref="C294:F294">
    <cfRule type="cellIs" dxfId="22" priority="18" operator="equal">
      <formula>"Revisar"</formula>
    </cfRule>
  </conditionalFormatting>
  <conditionalFormatting sqref="I46:I52">
    <cfRule type="cellIs" dxfId="21" priority="16" operator="lessThan">
      <formula>1</formula>
    </cfRule>
    <cfRule type="cellIs" dxfId="20" priority="17" operator="greaterThan">
      <formula>1</formula>
    </cfRule>
  </conditionalFormatting>
  <conditionalFormatting sqref="G357">
    <cfRule type="cellIs" dxfId="19" priority="15" operator="lessThan">
      <formula>10</formula>
    </cfRule>
  </conditionalFormatting>
  <conditionalFormatting sqref="G356">
    <cfRule type="cellIs" dxfId="18" priority="11" operator="lessThan">
      <formula>MAX($C$356:$F$356)</formula>
    </cfRule>
    <cfRule type="cellIs" dxfId="17" priority="14" operator="greaterThan">
      <formula>20</formula>
    </cfRule>
  </conditionalFormatting>
  <conditionalFormatting sqref="G253">
    <cfRule type="cellIs" dxfId="16" priority="13" operator="lessThan">
      <formula>MAX($C$253:$F$253)</formula>
    </cfRule>
  </conditionalFormatting>
  <conditionalFormatting sqref="G244">
    <cfRule type="cellIs" dxfId="15" priority="12" operator="lessThan">
      <formula>MAX($C$244:$F$244)</formula>
    </cfRule>
  </conditionalFormatting>
  <conditionalFormatting sqref="C39">
    <cfRule type="cellIs" dxfId="14" priority="83" operator="lessThan">
      <formula>$L$34</formula>
    </cfRule>
  </conditionalFormatting>
  <conditionalFormatting sqref="C42">
    <cfRule type="cellIs" dxfId="13" priority="84" operator="greaterThan">
      <formula>$J$36/2</formula>
    </cfRule>
  </conditionalFormatting>
  <conditionalFormatting sqref="L40:L43">
    <cfRule type="cellIs" dxfId="12" priority="10" operator="greaterThan">
      <formula>$C$40</formula>
    </cfRule>
  </conditionalFormatting>
  <conditionalFormatting sqref="A2:B3 C30:H33 C38:F45 C360:F361 B5:D16 B38:B46 B22:H25 C243:G244 C252:G253 C355:G355 D356:G356">
    <cfRule type="expression" dxfId="11" priority="7" stopIfTrue="1">
      <formula>$J$2=1</formula>
    </cfRule>
  </conditionalFormatting>
  <conditionalFormatting sqref="C346:F349">
    <cfRule type="cellIs" dxfId="10" priority="9" operator="equal">
      <formula>"Aumentar D"</formula>
    </cfRule>
  </conditionalFormatting>
  <conditionalFormatting sqref="D22:E22">
    <cfRule type="cellIs" dxfId="9" priority="8" operator="lessThan">
      <formula>0</formula>
    </cfRule>
  </conditionalFormatting>
  <conditionalFormatting sqref="C40">
    <cfRule type="expression" dxfId="8" priority="6">
      <formula>AND($C$40&lt;&gt;0.4, $J$5=1)</formula>
    </cfRule>
  </conditionalFormatting>
  <conditionalFormatting sqref="I346">
    <cfRule type="cellIs" dxfId="7" priority="5" operator="equal">
      <formula>"Aumentar D"</formula>
    </cfRule>
  </conditionalFormatting>
  <conditionalFormatting sqref="M45:M46">
    <cfRule type="cellIs" dxfId="6" priority="4" operator="equal">
      <formula>"Aumentar D"</formula>
    </cfRule>
  </conditionalFormatting>
  <conditionalFormatting sqref="C43">
    <cfRule type="expression" dxfId="5" priority="85">
      <formula>AND($C$43&lt;&gt;1, $J$5=1)</formula>
    </cfRule>
    <cfRule type="expression" dxfId="4" priority="86">
      <formula>AND($C$43&lt;$L$35, $J$5&lt;&gt;1)</formula>
    </cfRule>
  </conditionalFormatting>
  <conditionalFormatting sqref="J359">
    <cfRule type="cellIs" dxfId="3" priority="2" operator="notEqual">
      <formula>"OK"</formula>
    </cfRule>
    <cfRule type="cellIs" dxfId="2" priority="3" operator="equal">
      <formula>"OK"</formula>
    </cfRule>
  </conditionalFormatting>
  <conditionalFormatting sqref="AH12:AI13">
    <cfRule type="expression" dxfId="1" priority="290">
      <formula>AH12&lt;AH1048576</formula>
    </cfRule>
  </conditionalFormatting>
  <conditionalFormatting sqref="C362">
    <cfRule type="cellIs" dxfId="0" priority="1" operator="lessThan">
      <formula>$C$363</formula>
    </cfRule>
  </conditionalFormatting>
  <dataValidations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43:F243 C355:F355 C252:F252 C361">
      <formula1>$K$258:$K$263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5" max="7" man="1"/>
    <brk id="207" max="7" man="1"/>
    <brk id="268" max="7" man="1"/>
    <brk id="322" max="7" man="1"/>
    <brk id="37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447675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276225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219075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workbookViewId="0">
      <selection activeCell="C39" sqref="C39"/>
    </sheetView>
  </sheetViews>
  <sheetFormatPr baseColWidth="10" defaultColWidth="11.5703125" defaultRowHeight="15"/>
  <cols>
    <col min="1" max="1" width="30.7109375" bestFit="1" customWidth="1"/>
    <col min="2" max="2" width="16.5703125" bestFit="1" customWidth="1"/>
    <col min="5" max="5" width="11.710937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1">
      <c r="A17" t="s">
        <v>422</v>
      </c>
    </row>
    <row r="38" spans="5:5">
      <c r="E38" s="364"/>
    </row>
    <row r="39" spans="5:5">
      <c r="E39" s="3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Dis_Cuadrado!Área_de_impresión</vt:lpstr>
      <vt:lpstr>'Dis_Cuadrado (try)'!Área_de_impresión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2026-04-24T21:34:48Z</dcterms:modified>
</cp:coreProperties>
</file>