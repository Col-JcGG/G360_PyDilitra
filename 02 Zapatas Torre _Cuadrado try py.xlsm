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450" tabRatio="718" activeTab="2"/>
  </bookViews>
  <sheets>
    <sheet name="Dis_Cuadrado" sheetId="130" r:id="rId1"/>
    <sheet name="Despiece" sheetId="131" r:id="rId2"/>
    <sheet name="Dis_Cuadrado (2)" sheetId="132" r:id="rId3"/>
    <sheet name="Hoja1" sheetId="11" state="hidden" r:id="rId4"/>
  </sheets>
  <functionGroups builtInGroupCount="17"/>
  <definedNames>
    <definedName name="_xleta.SQRT" hidden="1" xlm="1">#NAME?</definedName>
    <definedName name="_xlnm.Print_Area" localSheetId="0">Dis_Cuadrado!$A$2:$H$369</definedName>
    <definedName name="_xlnm.Print_Area" localSheetId="2">'Dis_Cuadrado (2)'!$A$2:$H$369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6" i="132" l="1"/>
  <c r="J55" i="132"/>
  <c r="C58" i="132"/>
  <c r="J54" i="132" s="1"/>
  <c r="O382" i="132"/>
  <c r="J382" i="132"/>
  <c r="O375" i="132"/>
  <c r="J375" i="132"/>
  <c r="O348" i="132"/>
  <c r="O344" i="132"/>
  <c r="O345" i="132" s="1"/>
  <c r="B344" i="132"/>
  <c r="C342" i="132"/>
  <c r="E341" i="132"/>
  <c r="F341" i="132" s="1"/>
  <c r="F342" i="132" s="1"/>
  <c r="D341" i="132"/>
  <c r="D342" i="132" s="1"/>
  <c r="D340" i="132"/>
  <c r="E340" i="132" s="1"/>
  <c r="F340" i="132" s="1"/>
  <c r="I339" i="132"/>
  <c r="G337" i="132"/>
  <c r="B336" i="132"/>
  <c r="F335" i="132"/>
  <c r="E335" i="132"/>
  <c r="D335" i="132"/>
  <c r="R334" i="132"/>
  <c r="R335" i="132" s="1"/>
  <c r="G325" i="132"/>
  <c r="G324" i="132"/>
  <c r="G323" i="132"/>
  <c r="G322" i="132"/>
  <c r="AA320" i="132"/>
  <c r="Q320" i="132"/>
  <c r="AL320" i="132" s="1"/>
  <c r="Q319" i="132"/>
  <c r="AL319" i="132" s="1"/>
  <c r="G319" i="132"/>
  <c r="AL318" i="132"/>
  <c r="U318" i="132"/>
  <c r="Q318" i="132"/>
  <c r="G318" i="132"/>
  <c r="G317" i="132"/>
  <c r="G316" i="132"/>
  <c r="P307" i="132"/>
  <c r="P306" i="132"/>
  <c r="R306" i="132" s="1"/>
  <c r="R307" i="132" s="1"/>
  <c r="R305" i="132"/>
  <c r="AA319" i="132" s="1"/>
  <c r="P305" i="132"/>
  <c r="F266" i="132"/>
  <c r="E266" i="132"/>
  <c r="D266" i="132"/>
  <c r="C266" i="132"/>
  <c r="F265" i="132"/>
  <c r="E265" i="132"/>
  <c r="D265" i="132"/>
  <c r="C265" i="132"/>
  <c r="C267" i="132" s="1"/>
  <c r="C263" i="132"/>
  <c r="C271" i="132" s="1"/>
  <c r="F262" i="132"/>
  <c r="E262" i="132"/>
  <c r="D262" i="132"/>
  <c r="C262" i="132"/>
  <c r="C264" i="132" s="1"/>
  <c r="C261" i="132"/>
  <c r="C260" i="132"/>
  <c r="G233" i="132"/>
  <c r="D232" i="132"/>
  <c r="E232" i="132" s="1"/>
  <c r="F232" i="132" s="1"/>
  <c r="C232" i="132"/>
  <c r="B233" i="132" s="1"/>
  <c r="J226" i="132"/>
  <c r="B224" i="132"/>
  <c r="F223" i="132"/>
  <c r="D223" i="132"/>
  <c r="E223" i="132" s="1"/>
  <c r="F215" i="132"/>
  <c r="E215" i="132"/>
  <c r="D215" i="132"/>
  <c r="C215" i="132"/>
  <c r="F209" i="132"/>
  <c r="E209" i="132"/>
  <c r="D209" i="132"/>
  <c r="C209" i="132"/>
  <c r="F208" i="132"/>
  <c r="E208" i="132"/>
  <c r="D208" i="132"/>
  <c r="C208" i="132"/>
  <c r="S193" i="132"/>
  <c r="P193" i="132"/>
  <c r="O193" i="132"/>
  <c r="N193" i="132"/>
  <c r="M193" i="132"/>
  <c r="C191" i="132"/>
  <c r="F173" i="132"/>
  <c r="E173" i="132"/>
  <c r="D173" i="132"/>
  <c r="C173" i="132"/>
  <c r="L172" i="132" s="1"/>
  <c r="C167" i="132"/>
  <c r="F153" i="132"/>
  <c r="E153" i="132"/>
  <c r="D153" i="132"/>
  <c r="C153" i="132"/>
  <c r="F151" i="132"/>
  <c r="E151" i="132"/>
  <c r="D151" i="132"/>
  <c r="C151" i="132"/>
  <c r="L150" i="132"/>
  <c r="C145" i="132"/>
  <c r="F131" i="132"/>
  <c r="E131" i="132"/>
  <c r="D131" i="132"/>
  <c r="C131" i="132"/>
  <c r="F129" i="132"/>
  <c r="E129" i="132"/>
  <c r="D129" i="132"/>
  <c r="C129" i="132"/>
  <c r="L128" i="132" s="1"/>
  <c r="C123" i="132"/>
  <c r="F107" i="132"/>
  <c r="E107" i="132"/>
  <c r="D107" i="132"/>
  <c r="C107" i="132"/>
  <c r="L106" i="132"/>
  <c r="C101" i="132"/>
  <c r="C69" i="132"/>
  <c r="C69" i="132" a="1"/>
  <c r="C68" i="132" a="1"/>
  <c r="C68" i="132" s="1"/>
  <c r="C51" i="132"/>
  <c r="C50" i="132"/>
  <c r="C47" i="132"/>
  <c r="D45" i="132"/>
  <c r="C45" i="132"/>
  <c r="D44" i="132"/>
  <c r="E44" i="132" s="1"/>
  <c r="F44" i="132" s="1"/>
  <c r="D43" i="132"/>
  <c r="L42" i="132"/>
  <c r="D42" i="132"/>
  <c r="L41" i="132"/>
  <c r="D41" i="132"/>
  <c r="D344" i="132" s="1"/>
  <c r="C41" i="132"/>
  <c r="L40" i="132"/>
  <c r="E40" i="132"/>
  <c r="D40" i="132"/>
  <c r="D261" i="132" s="1"/>
  <c r="D39" i="132"/>
  <c r="L37" i="132"/>
  <c r="L35" i="132"/>
  <c r="L34" i="132"/>
  <c r="F33" i="132"/>
  <c r="E33" i="132"/>
  <c r="D33" i="132"/>
  <c r="C33" i="132"/>
  <c r="H32" i="132"/>
  <c r="E32" i="132"/>
  <c r="D32" i="132"/>
  <c r="C32" i="132"/>
  <c r="H31" i="132"/>
  <c r="E31" i="132"/>
  <c r="D31" i="132"/>
  <c r="C31" i="132"/>
  <c r="H30" i="132"/>
  <c r="F30" i="132"/>
  <c r="E30" i="132"/>
  <c r="D30" i="132"/>
  <c r="C30" i="132"/>
  <c r="H25" i="132"/>
  <c r="H33" i="132" s="1"/>
  <c r="G25" i="132"/>
  <c r="F25" i="132"/>
  <c r="H24" i="132"/>
  <c r="G24" i="132"/>
  <c r="F24" i="132"/>
  <c r="H23" i="132"/>
  <c r="G23" i="132"/>
  <c r="F23" i="132"/>
  <c r="F31" i="132" s="1"/>
  <c r="H22" i="132"/>
  <c r="G22" i="132"/>
  <c r="F22" i="132"/>
  <c r="C93" i="132" s="1"/>
  <c r="C14" i="132"/>
  <c r="C12" i="132"/>
  <c r="C11" i="132"/>
  <c r="C10" i="132"/>
  <c r="C8" i="132"/>
  <c r="AD5" i="132"/>
  <c r="AC5" i="132"/>
  <c r="AB5" i="132"/>
  <c r="AA5" i="132"/>
  <c r="Z5" i="132"/>
  <c r="K58" i="130"/>
  <c r="C60" i="130"/>
  <c r="C346" i="132" l="1"/>
  <c r="C273" i="132"/>
  <c r="C274" i="132" s="1"/>
  <c r="C268" i="132"/>
  <c r="C276" i="132" s="1"/>
  <c r="C280" i="132" s="1"/>
  <c r="K56" i="132"/>
  <c r="K55" i="132"/>
  <c r="C133" i="132"/>
  <c r="C135" i="132" s="1"/>
  <c r="C89" i="132"/>
  <c r="C91" i="132" s="1"/>
  <c r="D65" i="132" a="1"/>
  <c r="D65" i="132" s="1"/>
  <c r="D67" i="132" s="1"/>
  <c r="D64" i="132" a="1"/>
  <c r="D64" i="132" s="1"/>
  <c r="D66" i="132" s="1"/>
  <c r="D155" i="132"/>
  <c r="D157" i="132" s="1"/>
  <c r="D110" i="132"/>
  <c r="D112" i="132" s="1"/>
  <c r="C155" i="132"/>
  <c r="C157" i="132" s="1"/>
  <c r="C110" i="132"/>
  <c r="C65" i="132" a="1"/>
  <c r="C65" i="132" s="1"/>
  <c r="C67" i="132" s="1"/>
  <c r="C64" i="132" a="1"/>
  <c r="C64" i="132" s="1"/>
  <c r="C66" i="132" s="1"/>
  <c r="D132" i="132"/>
  <c r="D134" i="132" s="1"/>
  <c r="D88" i="132"/>
  <c r="D90" i="132" s="1"/>
  <c r="C132" i="132"/>
  <c r="C134" i="132" s="1"/>
  <c r="C88" i="132"/>
  <c r="C90" i="132" s="1"/>
  <c r="D154" i="132"/>
  <c r="D156" i="132" s="1"/>
  <c r="D111" i="132"/>
  <c r="D113" i="132" s="1"/>
  <c r="C154" i="132"/>
  <c r="C156" i="132" s="1"/>
  <c r="C111" i="132"/>
  <c r="D133" i="132"/>
  <c r="D135" i="132" s="1"/>
  <c r="D89" i="132"/>
  <c r="D91" i="132" s="1"/>
  <c r="D114" i="132"/>
  <c r="C114" i="132"/>
  <c r="C240" i="132"/>
  <c r="C255" i="132"/>
  <c r="D263" i="132"/>
  <c r="D250" i="132" s="1"/>
  <c r="E39" i="132"/>
  <c r="E133" i="132" s="1"/>
  <c r="E135" i="132" s="1"/>
  <c r="D260" i="132"/>
  <c r="D264" i="132" s="1"/>
  <c r="D240" i="132" s="1"/>
  <c r="D69" i="132" a="1"/>
  <c r="D69" i="132" s="1"/>
  <c r="D68" i="132" a="1"/>
  <c r="D68" i="132" s="1"/>
  <c r="D47" i="132"/>
  <c r="D51" i="132"/>
  <c r="E43" i="132"/>
  <c r="E60" i="132"/>
  <c r="D60" i="132"/>
  <c r="C241" i="132"/>
  <c r="F241" i="132"/>
  <c r="E241" i="132"/>
  <c r="D241" i="132"/>
  <c r="G31" i="132"/>
  <c r="E256" i="132"/>
  <c r="F256" i="132"/>
  <c r="D256" i="132"/>
  <c r="C256" i="132"/>
  <c r="C79" i="132"/>
  <c r="C80" i="132"/>
  <c r="F60" i="132"/>
  <c r="D115" i="132"/>
  <c r="C115" i="132"/>
  <c r="D225" i="132"/>
  <c r="D234" i="132"/>
  <c r="D191" i="132"/>
  <c r="D167" i="132"/>
  <c r="D49" i="132"/>
  <c r="D57" i="132" s="1"/>
  <c r="D228" i="132" s="1"/>
  <c r="D229" i="132" s="1"/>
  <c r="D231" i="132" s="1"/>
  <c r="D233" i="132" s="1"/>
  <c r="D123" i="132"/>
  <c r="E42" i="132"/>
  <c r="E137" i="132" s="1"/>
  <c r="D145" i="132"/>
  <c r="D101" i="132"/>
  <c r="C137" i="132"/>
  <c r="D137" i="132"/>
  <c r="E261" i="132"/>
  <c r="F40" i="132"/>
  <c r="G32" i="132"/>
  <c r="D136" i="132"/>
  <c r="C136" i="132"/>
  <c r="C251" i="132"/>
  <c r="F251" i="132"/>
  <c r="E251" i="132"/>
  <c r="D251" i="132"/>
  <c r="E77" i="132" a="1"/>
  <c r="E77" i="132" s="1"/>
  <c r="D92" i="132"/>
  <c r="D77" i="132" a="1"/>
  <c r="D77" i="132" s="1"/>
  <c r="C92" i="132"/>
  <c r="C77" i="132" a="1"/>
  <c r="C77" i="132" s="1"/>
  <c r="G30" i="132"/>
  <c r="F77" i="132" a="1"/>
  <c r="F77" i="132" s="1"/>
  <c r="D46" i="132"/>
  <c r="E45" i="132"/>
  <c r="F45" i="132" s="1"/>
  <c r="E159" i="132"/>
  <c r="D159" i="132"/>
  <c r="C159" i="132"/>
  <c r="E246" i="132"/>
  <c r="F246" i="132"/>
  <c r="D246" i="132"/>
  <c r="C246" i="132"/>
  <c r="F32" i="132"/>
  <c r="D50" i="132"/>
  <c r="D56" i="132" s="1"/>
  <c r="C234" i="132"/>
  <c r="J336" i="132"/>
  <c r="I340" i="132" s="1"/>
  <c r="F76" i="132" a="1"/>
  <c r="F76" i="132" s="1"/>
  <c r="D93" i="132"/>
  <c r="C158" i="132"/>
  <c r="C344" i="132"/>
  <c r="C76" i="132" a="1"/>
  <c r="C76" i="132" s="1"/>
  <c r="D158" i="132"/>
  <c r="E158" i="132"/>
  <c r="C245" i="132"/>
  <c r="G33" i="132"/>
  <c r="L43" i="132"/>
  <c r="C46" i="132"/>
  <c r="C49" i="132"/>
  <c r="D76" i="132" a="1"/>
  <c r="D76" i="132" s="1"/>
  <c r="Q193" i="132"/>
  <c r="C250" i="132"/>
  <c r="E76" i="132" a="1"/>
  <c r="E76" i="132" s="1"/>
  <c r="C225" i="132"/>
  <c r="D267" i="132"/>
  <c r="U320" i="132"/>
  <c r="E342" i="132"/>
  <c r="C375" i="132"/>
  <c r="C376" i="132" s="1"/>
  <c r="E267" i="132"/>
  <c r="R308" i="132"/>
  <c r="U319" i="132"/>
  <c r="C330" i="132"/>
  <c r="C332" i="132"/>
  <c r="C391" i="132" s="1"/>
  <c r="F267" i="132"/>
  <c r="C343" i="132"/>
  <c r="AA318" i="132"/>
  <c r="D343" i="132"/>
  <c r="C345" i="132"/>
  <c r="C347" i="132" s="1"/>
  <c r="C203" i="130"/>
  <c r="D54" i="132"/>
  <c r="C54" i="132"/>
  <c r="E114" i="132" l="1"/>
  <c r="E92" i="132"/>
  <c r="E115" i="132"/>
  <c r="E93" i="132"/>
  <c r="E89" i="132"/>
  <c r="E91" i="132" s="1"/>
  <c r="D345" i="132"/>
  <c r="D346" i="132"/>
  <c r="D245" i="132"/>
  <c r="D55" i="132"/>
  <c r="D58" i="132" s="1"/>
  <c r="C213" i="132"/>
  <c r="C203" i="132"/>
  <c r="C210" i="132" s="1"/>
  <c r="C207" i="132" s="1"/>
  <c r="C324" i="132"/>
  <c r="C284" i="132"/>
  <c r="D75" i="132"/>
  <c r="D78" i="132" s="1"/>
  <c r="D161" i="132"/>
  <c r="D116" i="132"/>
  <c r="D142" i="132"/>
  <c r="D138" i="132"/>
  <c r="D98" i="132"/>
  <c r="D94" i="132"/>
  <c r="D164" i="132"/>
  <c r="D160" i="132"/>
  <c r="D139" i="132"/>
  <c r="D95" i="132"/>
  <c r="E136" i="132"/>
  <c r="F261" i="132"/>
  <c r="F46" i="132"/>
  <c r="D319" i="132"/>
  <c r="C285" i="132"/>
  <c r="C325" i="132"/>
  <c r="E111" i="132"/>
  <c r="E113" i="132" s="1"/>
  <c r="E110" i="132"/>
  <c r="E112" i="132" s="1"/>
  <c r="C160" i="132"/>
  <c r="C161" i="132"/>
  <c r="C165" i="132" s="1"/>
  <c r="C162" i="132" s="1"/>
  <c r="F319" i="132"/>
  <c r="C322" i="132"/>
  <c r="C282" i="132"/>
  <c r="C164" i="132"/>
  <c r="C75" i="132"/>
  <c r="C78" i="132" s="1"/>
  <c r="C81" i="132" s="1"/>
  <c r="C82" i="132" s="1"/>
  <c r="E319" i="132"/>
  <c r="E263" i="132"/>
  <c r="F39" i="132"/>
  <c r="D322" i="132"/>
  <c r="E154" i="132"/>
  <c r="E156" i="132" s="1"/>
  <c r="E155" i="132"/>
  <c r="E157" i="132" s="1"/>
  <c r="C94" i="132"/>
  <c r="C95" i="132"/>
  <c r="C301" i="132"/>
  <c r="C307" i="132" s="1"/>
  <c r="C257" i="132"/>
  <c r="C319" i="132"/>
  <c r="D257" i="132"/>
  <c r="D323" i="132"/>
  <c r="D305" i="132"/>
  <c r="D283" i="132"/>
  <c r="J339" i="132"/>
  <c r="C317" i="132"/>
  <c r="C299" i="132"/>
  <c r="C247" i="132"/>
  <c r="C311" i="132" s="1"/>
  <c r="L378" i="132" s="1"/>
  <c r="D247" i="132"/>
  <c r="D291" i="132" s="1"/>
  <c r="D318" i="132"/>
  <c r="D324" i="132"/>
  <c r="D317" i="132"/>
  <c r="E318" i="132"/>
  <c r="E260" i="132"/>
  <c r="E264" i="132" s="1"/>
  <c r="E47" i="132"/>
  <c r="E50" i="132"/>
  <c r="E56" i="132" s="1"/>
  <c r="E41" i="132"/>
  <c r="E69" i="132" a="1"/>
  <c r="E69" i="132" s="1"/>
  <c r="E68" i="132" a="1"/>
  <c r="E68" i="132" s="1"/>
  <c r="E51" i="132"/>
  <c r="F43" i="132"/>
  <c r="D332" i="132"/>
  <c r="D391" i="132" s="1"/>
  <c r="D330" i="132"/>
  <c r="D375" i="132"/>
  <c r="D376" i="132" s="1"/>
  <c r="D271" i="132"/>
  <c r="D273" i="132" s="1"/>
  <c r="D274" i="132" s="1"/>
  <c r="D268" i="132"/>
  <c r="D276" i="132" s="1"/>
  <c r="D280" i="132" s="1"/>
  <c r="D284" i="132" s="1"/>
  <c r="D293" i="132" s="1"/>
  <c r="E88" i="132"/>
  <c r="E90" i="132" s="1"/>
  <c r="C98" i="132"/>
  <c r="C139" i="132"/>
  <c r="E242" i="132"/>
  <c r="C298" i="132"/>
  <c r="C304" i="132" s="1"/>
  <c r="C316" i="132"/>
  <c r="C242" i="132"/>
  <c r="D242" i="132"/>
  <c r="C380" i="132"/>
  <c r="C381" i="132" s="1"/>
  <c r="C379" i="132"/>
  <c r="C305" i="132"/>
  <c r="C291" i="132"/>
  <c r="C283" i="132"/>
  <c r="C323" i="132"/>
  <c r="F317" i="132"/>
  <c r="F318" i="132"/>
  <c r="D316" i="132"/>
  <c r="C348" i="132" s="1"/>
  <c r="D203" i="132"/>
  <c r="D210" i="132" s="1"/>
  <c r="D207" i="132" s="1"/>
  <c r="D205" i="132" s="1"/>
  <c r="C112" i="132"/>
  <c r="C116" i="132" s="1"/>
  <c r="C113" i="132"/>
  <c r="C117" i="132" s="1"/>
  <c r="C138" i="132"/>
  <c r="R320" i="132"/>
  <c r="R318" i="132"/>
  <c r="R319" i="132"/>
  <c r="E46" i="132"/>
  <c r="E317" i="132"/>
  <c r="E252" i="132"/>
  <c r="C318" i="132"/>
  <c r="C300" i="132"/>
  <c r="C306" i="132" s="1"/>
  <c r="D252" i="132"/>
  <c r="C252" i="132"/>
  <c r="C228" i="132"/>
  <c r="C229" i="132" s="1"/>
  <c r="C231" i="132" s="1"/>
  <c r="C233" i="132" s="1"/>
  <c r="D213" i="132"/>
  <c r="E316" i="132"/>
  <c r="D79" i="132"/>
  <c r="D80" i="132"/>
  <c r="D255" i="132"/>
  <c r="E64" i="132" a="1"/>
  <c r="E64" i="132" s="1"/>
  <c r="E66" i="132" s="1"/>
  <c r="E132" i="132"/>
  <c r="E134" i="132" s="1"/>
  <c r="C142" i="132"/>
  <c r="E234" i="132"/>
  <c r="E191" i="132"/>
  <c r="E167" i="132"/>
  <c r="E123" i="132"/>
  <c r="E145" i="132"/>
  <c r="E101" i="132"/>
  <c r="E225" i="132"/>
  <c r="F42" i="132"/>
  <c r="F316" i="132"/>
  <c r="E65" i="132" a="1"/>
  <c r="E65" i="132" s="1"/>
  <c r="E67" i="132" s="1"/>
  <c r="J336" i="130"/>
  <c r="I340" i="130" s="1"/>
  <c r="I339" i="130"/>
  <c r="E54" i="132"/>
  <c r="D117" i="132" l="1"/>
  <c r="D121" i="132" s="1"/>
  <c r="D118" i="132" s="1"/>
  <c r="D120" i="132"/>
  <c r="C295" i="132"/>
  <c r="C289" i="132"/>
  <c r="D347" i="132"/>
  <c r="D348" i="132" s="1"/>
  <c r="D144" i="132"/>
  <c r="D141" i="132" s="1"/>
  <c r="D143" i="132"/>
  <c r="D140" i="132" s="1"/>
  <c r="D166" i="132"/>
  <c r="D163" i="132" s="1"/>
  <c r="D165" i="132"/>
  <c r="D162" i="132" s="1"/>
  <c r="D100" i="132"/>
  <c r="D97" i="132" s="1"/>
  <c r="D99" i="132"/>
  <c r="D96" i="132" s="1"/>
  <c r="C293" i="132"/>
  <c r="C312" i="132" s="1"/>
  <c r="L380" i="132" s="1"/>
  <c r="C313" i="132"/>
  <c r="L379" i="132" s="1"/>
  <c r="C143" i="132"/>
  <c r="C140" i="132" s="1"/>
  <c r="C144" i="132"/>
  <c r="C141" i="132" s="1"/>
  <c r="E55" i="132"/>
  <c r="C310" i="132"/>
  <c r="C205" i="132"/>
  <c r="AI319" i="132"/>
  <c r="S319" i="132"/>
  <c r="AG319" i="132"/>
  <c r="Y319" i="132"/>
  <c r="X319" i="132"/>
  <c r="AM319" i="132"/>
  <c r="V319" i="132"/>
  <c r="AJ319" i="132"/>
  <c r="T319" i="132"/>
  <c r="W319" i="132" s="1"/>
  <c r="AH319" i="132"/>
  <c r="D81" i="132"/>
  <c r="D82" i="132" s="1"/>
  <c r="D84" i="132" s="1"/>
  <c r="F225" i="132"/>
  <c r="F234" i="132"/>
  <c r="F191" i="132"/>
  <c r="F123" i="132"/>
  <c r="F145" i="132"/>
  <c r="F101" i="132"/>
  <c r="F167" i="132"/>
  <c r="F213" i="132"/>
  <c r="C327" i="132"/>
  <c r="M378" i="132"/>
  <c r="E80" i="132"/>
  <c r="E79" i="132"/>
  <c r="M377" i="132"/>
  <c r="AM318" i="132"/>
  <c r="AJ318" i="132"/>
  <c r="T318" i="132"/>
  <c r="W318" i="132" s="1"/>
  <c r="AI318" i="132"/>
  <c r="S318" i="132"/>
  <c r="AH318" i="132"/>
  <c r="AG318" i="132"/>
  <c r="Y318" i="132"/>
  <c r="X318" i="132"/>
  <c r="V318" i="132"/>
  <c r="D298" i="132"/>
  <c r="D304" i="132" s="1"/>
  <c r="F47" i="132"/>
  <c r="F50" i="132"/>
  <c r="F56" i="132" s="1"/>
  <c r="F51" i="132"/>
  <c r="F69" i="132" a="1"/>
  <c r="F69" i="132" s="1"/>
  <c r="F260" i="132"/>
  <c r="F264" i="132" s="1"/>
  <c r="F68" i="132" a="1"/>
  <c r="F68" i="132" s="1"/>
  <c r="F41" i="132"/>
  <c r="F344" i="132" s="1"/>
  <c r="F137" i="132"/>
  <c r="F158" i="132"/>
  <c r="F114" i="132"/>
  <c r="F159" i="132"/>
  <c r="F92" i="132"/>
  <c r="F93" i="132"/>
  <c r="F136" i="132"/>
  <c r="F115" i="132"/>
  <c r="D300" i="132"/>
  <c r="D306" i="132" s="1"/>
  <c r="D312" i="132" s="1"/>
  <c r="E257" i="132"/>
  <c r="D282" i="132"/>
  <c r="D289" i="132" s="1"/>
  <c r="E268" i="132"/>
  <c r="E276" i="132" s="1"/>
  <c r="E299" i="132" s="1"/>
  <c r="E343" i="132"/>
  <c r="E332" i="132"/>
  <c r="E391" i="132" s="1"/>
  <c r="E330" i="132"/>
  <c r="E375" i="132"/>
  <c r="E271" i="132"/>
  <c r="E273" i="132" s="1"/>
  <c r="E274" i="132" s="1"/>
  <c r="E376" i="132"/>
  <c r="E255" i="132"/>
  <c r="E240" i="132"/>
  <c r="E345" i="132"/>
  <c r="E245" i="132"/>
  <c r="E250" i="132"/>
  <c r="AJ320" i="132"/>
  <c r="T320" i="132"/>
  <c r="W320" i="132" s="1"/>
  <c r="AH320" i="132"/>
  <c r="AG320" i="132"/>
  <c r="Y320" i="132"/>
  <c r="X320" i="132"/>
  <c r="AM320" i="132"/>
  <c r="V320" i="132"/>
  <c r="S320" i="132"/>
  <c r="AI320" i="132"/>
  <c r="C84" i="132"/>
  <c r="D311" i="132"/>
  <c r="Q378" i="132" s="1"/>
  <c r="C166" i="132"/>
  <c r="C163" i="132" s="1"/>
  <c r="D301" i="132"/>
  <c r="D307" i="132" s="1"/>
  <c r="D325" i="132"/>
  <c r="D285" i="132"/>
  <c r="D295" i="132" s="1"/>
  <c r="E213" i="132"/>
  <c r="D299" i="132"/>
  <c r="C383" i="132"/>
  <c r="C382" i="132"/>
  <c r="J348" i="132"/>
  <c r="L52" i="132" s="1"/>
  <c r="E247" i="132"/>
  <c r="R377" i="132"/>
  <c r="D147" i="132"/>
  <c r="D152" i="132" s="1"/>
  <c r="D150" i="132"/>
  <c r="D148" i="132"/>
  <c r="R380" i="132"/>
  <c r="D380" i="132"/>
  <c r="D381" i="132" s="1"/>
  <c r="D379" i="132"/>
  <c r="E344" i="132"/>
  <c r="E49" i="132"/>
  <c r="E57" i="132" s="1"/>
  <c r="E228" i="132" s="1"/>
  <c r="E229" i="132" s="1"/>
  <c r="E231" i="132" s="1"/>
  <c r="E233" i="132" s="1"/>
  <c r="C99" i="132"/>
  <c r="C96" i="132" s="1"/>
  <c r="F203" i="132"/>
  <c r="F210" i="132" s="1"/>
  <c r="F207" i="132" s="1"/>
  <c r="F205" i="132" s="1"/>
  <c r="F263" i="132"/>
  <c r="F111" i="132"/>
  <c r="F113" i="132" s="1"/>
  <c r="F133" i="132"/>
  <c r="F135" i="132" s="1"/>
  <c r="F155" i="132"/>
  <c r="F157" i="132" s="1"/>
  <c r="F89" i="132"/>
  <c r="F91" i="132" s="1"/>
  <c r="F65" i="132" a="1"/>
  <c r="F65" i="132" s="1"/>
  <c r="F67" i="132" s="1"/>
  <c r="F132" i="132"/>
  <c r="F134" i="132" s="1"/>
  <c r="F110" i="132"/>
  <c r="F112" i="132" s="1"/>
  <c r="F88" i="132"/>
  <c r="F90" i="132" s="1"/>
  <c r="F64" i="132" a="1"/>
  <c r="F64" i="132" s="1"/>
  <c r="F66" i="132" s="1"/>
  <c r="F154" i="132"/>
  <c r="F156" i="132" s="1"/>
  <c r="D122" i="132"/>
  <c r="D119" i="132" s="1"/>
  <c r="C328" i="132"/>
  <c r="M380" i="132"/>
  <c r="D70" i="132"/>
  <c r="D61" i="132"/>
  <c r="D62" i="132" s="1"/>
  <c r="D71" i="132"/>
  <c r="E346" i="132"/>
  <c r="R378" i="132"/>
  <c r="D327" i="132"/>
  <c r="C100" i="132"/>
  <c r="C97" i="132" s="1"/>
  <c r="E203" i="132"/>
  <c r="E210" i="132" s="1"/>
  <c r="E207" i="132" s="1"/>
  <c r="M379" i="132"/>
  <c r="C120" i="132"/>
  <c r="J339" i="130"/>
  <c r="C41" i="130"/>
  <c r="F22" i="130"/>
  <c r="G22" i="130"/>
  <c r="H25" i="130"/>
  <c r="H22" i="130"/>
  <c r="H24" i="130"/>
  <c r="F54" i="132"/>
  <c r="D149" i="132" l="1"/>
  <c r="D170" i="132"/>
  <c r="L212" i="132"/>
  <c r="K51" i="132" s="1"/>
  <c r="D171" i="132"/>
  <c r="D310" i="132"/>
  <c r="D172" i="132"/>
  <c r="E142" i="132"/>
  <c r="C329" i="132"/>
  <c r="D169" i="132"/>
  <c r="D174" i="132" s="1"/>
  <c r="E95" i="132"/>
  <c r="F49" i="132"/>
  <c r="F57" i="132" s="1"/>
  <c r="F228" i="132" s="1"/>
  <c r="F229" i="132" s="1"/>
  <c r="F231" i="132" s="1"/>
  <c r="F233" i="132" s="1"/>
  <c r="E164" i="132"/>
  <c r="E75" i="132"/>
  <c r="E78" i="132" s="1"/>
  <c r="E81" i="132" s="1"/>
  <c r="E82" i="132" s="1"/>
  <c r="E84" i="132" s="1"/>
  <c r="E138" i="132"/>
  <c r="E139" i="132"/>
  <c r="E116" i="132"/>
  <c r="E117" i="132"/>
  <c r="E120" i="132"/>
  <c r="E160" i="132"/>
  <c r="E161" i="132"/>
  <c r="E165" i="132" s="1"/>
  <c r="E162" i="132" s="1"/>
  <c r="E94" i="132"/>
  <c r="E98" i="132"/>
  <c r="D128" i="132"/>
  <c r="D104" i="132"/>
  <c r="D125" i="132"/>
  <c r="D130" i="132" s="1"/>
  <c r="D127" i="132"/>
  <c r="D106" i="132"/>
  <c r="D103" i="132"/>
  <c r="D108" i="132" s="1"/>
  <c r="D313" i="132"/>
  <c r="Q379" i="132" s="1"/>
  <c r="D105" i="132"/>
  <c r="C147" i="132"/>
  <c r="C152" i="132" s="1"/>
  <c r="C149" i="132"/>
  <c r="C148" i="132"/>
  <c r="C150" i="132"/>
  <c r="C169" i="132"/>
  <c r="C174" i="132" s="1"/>
  <c r="F55" i="132"/>
  <c r="E205" i="132"/>
  <c r="L206" i="132"/>
  <c r="K50" i="132" s="1"/>
  <c r="AK319" i="132"/>
  <c r="Z319" i="132"/>
  <c r="AB319" i="132" s="1"/>
  <c r="AK320" i="132"/>
  <c r="Z320" i="132"/>
  <c r="AB320" i="132" s="1"/>
  <c r="E311" i="132"/>
  <c r="L385" i="132" s="1"/>
  <c r="Q380" i="132"/>
  <c r="D328" i="132"/>
  <c r="Q377" i="132"/>
  <c r="D326" i="132"/>
  <c r="C70" i="132"/>
  <c r="C61" i="132"/>
  <c r="C71" i="132"/>
  <c r="D72" i="132"/>
  <c r="D73" i="132" s="1"/>
  <c r="D383" i="132"/>
  <c r="D382" i="132"/>
  <c r="E325" i="132"/>
  <c r="AK318" i="132"/>
  <c r="D126" i="132"/>
  <c r="F98" i="132"/>
  <c r="F117" i="132"/>
  <c r="F75" i="132"/>
  <c r="F78" i="132" s="1"/>
  <c r="F80" i="132"/>
  <c r="F79" i="132"/>
  <c r="E322" i="132"/>
  <c r="E304" i="132"/>
  <c r="C171" i="132"/>
  <c r="E380" i="132"/>
  <c r="E381" i="132" s="1"/>
  <c r="E379" i="132"/>
  <c r="C103" i="132"/>
  <c r="E301" i="132"/>
  <c r="E307" i="132" s="1"/>
  <c r="C121" i="132"/>
  <c r="C118" i="132" s="1"/>
  <c r="C170" i="132"/>
  <c r="E324" i="132"/>
  <c r="C105" i="132"/>
  <c r="Z318" i="132"/>
  <c r="AB318" i="132" s="1"/>
  <c r="L377" i="132"/>
  <c r="F332" i="132"/>
  <c r="F391" i="132" s="1"/>
  <c r="F330" i="132"/>
  <c r="F375" i="132"/>
  <c r="F271" i="132"/>
  <c r="F273" i="132" s="1"/>
  <c r="F274" i="132" s="1"/>
  <c r="F376" i="132"/>
  <c r="F268" i="132"/>
  <c r="F276" i="132" s="1"/>
  <c r="F280" i="132" s="1"/>
  <c r="F240" i="132"/>
  <c r="F245" i="132"/>
  <c r="F343" i="132"/>
  <c r="F250" i="132"/>
  <c r="F346" i="132"/>
  <c r="F345" i="132"/>
  <c r="F347" i="132" s="1"/>
  <c r="F348" i="132" s="1"/>
  <c r="F255" i="132"/>
  <c r="C172" i="132"/>
  <c r="E323" i="132"/>
  <c r="E305" i="132"/>
  <c r="E291" i="132"/>
  <c r="E283" i="132"/>
  <c r="C104" i="132"/>
  <c r="C326" i="132"/>
  <c r="C331" i="132" s="1"/>
  <c r="C122" i="132"/>
  <c r="C119" i="132" s="1"/>
  <c r="E280" i="132"/>
  <c r="E282" i="132" s="1"/>
  <c r="E289" i="132" s="1"/>
  <c r="E298" i="132"/>
  <c r="E300" i="132"/>
  <c r="E306" i="132" s="1"/>
  <c r="E143" i="132"/>
  <c r="E140" i="132" s="1"/>
  <c r="R379" i="132"/>
  <c r="D329" i="132"/>
  <c r="E347" i="132"/>
  <c r="F247" i="132"/>
  <c r="F257" i="132"/>
  <c r="F242" i="132"/>
  <c r="F252" i="132"/>
  <c r="C106" i="132"/>
  <c r="E58" i="132"/>
  <c r="G24" i="130"/>
  <c r="G25" i="130"/>
  <c r="F24" i="130"/>
  <c r="F25" i="130"/>
  <c r="H23" i="130"/>
  <c r="F81" i="132" l="1"/>
  <c r="F82" i="132" s="1"/>
  <c r="F84" i="132" s="1"/>
  <c r="F164" i="132"/>
  <c r="E99" i="132"/>
  <c r="E144" i="132"/>
  <c r="E141" i="132" s="1"/>
  <c r="E96" i="132"/>
  <c r="F300" i="132"/>
  <c r="F298" i="132"/>
  <c r="F94" i="132"/>
  <c r="F100" i="132" s="1"/>
  <c r="E100" i="132"/>
  <c r="E97" i="132" s="1"/>
  <c r="F299" i="132"/>
  <c r="F116" i="132"/>
  <c r="F138" i="132"/>
  <c r="E121" i="132"/>
  <c r="E118" i="132" s="1"/>
  <c r="F120" i="132"/>
  <c r="F121" i="132" s="1"/>
  <c r="C72" i="132"/>
  <c r="E122" i="132"/>
  <c r="E119" i="132" s="1"/>
  <c r="F301" i="132"/>
  <c r="F307" i="132" s="1"/>
  <c r="F161" i="132"/>
  <c r="F165" i="132" s="1"/>
  <c r="F162" i="132" s="1"/>
  <c r="J82" i="132"/>
  <c r="K48" i="132" s="1"/>
  <c r="I48" i="132" s="1"/>
  <c r="F142" i="132"/>
  <c r="F95" i="132"/>
  <c r="F99" i="132" s="1"/>
  <c r="F96" i="132" s="1"/>
  <c r="F139" i="132"/>
  <c r="F143" i="132" s="1"/>
  <c r="F140" i="132" s="1"/>
  <c r="F160" i="132"/>
  <c r="F166" i="132" s="1"/>
  <c r="F163" i="132" s="1"/>
  <c r="F58" i="132"/>
  <c r="F70" i="132" s="1"/>
  <c r="E310" i="132"/>
  <c r="L384" i="132" s="1"/>
  <c r="E166" i="132"/>
  <c r="E163" i="132" s="1"/>
  <c r="D331" i="132"/>
  <c r="D334" i="132" s="1"/>
  <c r="D336" i="132"/>
  <c r="O336" i="132" s="1"/>
  <c r="AF320" i="132"/>
  <c r="AE320" i="132"/>
  <c r="AD320" i="132"/>
  <c r="AC320" i="132"/>
  <c r="AE318" i="132"/>
  <c r="AC318" i="132"/>
  <c r="AF318" i="132"/>
  <c r="AD318" i="132"/>
  <c r="M384" i="132"/>
  <c r="E285" i="132"/>
  <c r="E295" i="132" s="1"/>
  <c r="E313" i="132" s="1"/>
  <c r="L386" i="132" s="1"/>
  <c r="C62" i="132"/>
  <c r="E70" i="132"/>
  <c r="E61" i="132"/>
  <c r="E62" i="132" s="1"/>
  <c r="E71" i="132"/>
  <c r="F325" i="132"/>
  <c r="F285" i="132"/>
  <c r="F295" i="132" s="1"/>
  <c r="C108" i="132"/>
  <c r="E148" i="132"/>
  <c r="AF319" i="132"/>
  <c r="AE319" i="132"/>
  <c r="AD319" i="132"/>
  <c r="AC319" i="132"/>
  <c r="F311" i="132"/>
  <c r="Q385" i="132" s="1"/>
  <c r="E284" i="132"/>
  <c r="E293" i="132" s="1"/>
  <c r="E312" i="132" s="1"/>
  <c r="L387" i="132" s="1"/>
  <c r="E150" i="132"/>
  <c r="M386" i="132"/>
  <c r="C126" i="132"/>
  <c r="F304" i="132"/>
  <c r="F282" i="132"/>
  <c r="F289" i="132" s="1"/>
  <c r="F310" i="132" s="1"/>
  <c r="Q384" i="132" s="1"/>
  <c r="F322" i="132"/>
  <c r="E348" i="132"/>
  <c r="L348" i="132"/>
  <c r="K52" i="132" s="1"/>
  <c r="I52" i="132" s="1"/>
  <c r="M385" i="132"/>
  <c r="E327" i="132"/>
  <c r="F380" i="132"/>
  <c r="F381" i="132" s="1"/>
  <c r="F379" i="132"/>
  <c r="E147" i="132"/>
  <c r="F170" i="132"/>
  <c r="C128" i="132"/>
  <c r="E149" i="132"/>
  <c r="C125" i="132"/>
  <c r="F324" i="132"/>
  <c r="F306" i="132"/>
  <c r="F284" i="132"/>
  <c r="F293" i="132" s="1"/>
  <c r="F312" i="132" s="1"/>
  <c r="Q387" i="132" s="1"/>
  <c r="M387" i="132"/>
  <c r="E328" i="132"/>
  <c r="E382" i="132"/>
  <c r="E383" i="132"/>
  <c r="C127" i="132"/>
  <c r="C336" i="132"/>
  <c r="N336" i="132" s="1"/>
  <c r="C334" i="132"/>
  <c r="F323" i="132"/>
  <c r="F305" i="132"/>
  <c r="F291" i="132"/>
  <c r="F283" i="132"/>
  <c r="F144" i="132"/>
  <c r="F141" i="132" s="1"/>
  <c r="G23" i="130"/>
  <c r="F23" i="130"/>
  <c r="G337" i="130"/>
  <c r="F122" i="132" l="1"/>
  <c r="F119" i="132" s="1"/>
  <c r="F118" i="132"/>
  <c r="F128" i="132"/>
  <c r="F169" i="132"/>
  <c r="F313" i="132"/>
  <c r="Q386" i="132" s="1"/>
  <c r="E326" i="132"/>
  <c r="E105" i="132"/>
  <c r="F61" i="132"/>
  <c r="F62" i="132" s="1"/>
  <c r="E128" i="132"/>
  <c r="F71" i="132"/>
  <c r="E103" i="132"/>
  <c r="E108" i="132" s="1"/>
  <c r="E106" i="132"/>
  <c r="F97" i="132"/>
  <c r="F105" i="132"/>
  <c r="F103" i="132"/>
  <c r="F108" i="132" s="1"/>
  <c r="F104" i="132"/>
  <c r="E126" i="132"/>
  <c r="E171" i="132"/>
  <c r="E127" i="132"/>
  <c r="E104" i="132"/>
  <c r="F125" i="132"/>
  <c r="F130" i="132" s="1"/>
  <c r="F127" i="132"/>
  <c r="E125" i="132"/>
  <c r="E130" i="132" s="1"/>
  <c r="F150" i="132"/>
  <c r="F171" i="132"/>
  <c r="F106" i="132"/>
  <c r="F172" i="132"/>
  <c r="F126" i="132"/>
  <c r="E170" i="132"/>
  <c r="E172" i="132"/>
  <c r="E169" i="132"/>
  <c r="E174" i="132" s="1"/>
  <c r="R384" i="132"/>
  <c r="F326" i="132"/>
  <c r="F147" i="132"/>
  <c r="F152" i="132" s="1"/>
  <c r="F149" i="132"/>
  <c r="D377" i="132"/>
  <c r="D337" i="132"/>
  <c r="R387" i="132"/>
  <c r="F328" i="132"/>
  <c r="E72" i="132"/>
  <c r="E73" i="132" s="1"/>
  <c r="I327" i="132"/>
  <c r="M47" i="132" s="1"/>
  <c r="F382" i="132"/>
  <c r="F383" i="132"/>
  <c r="F174" i="132"/>
  <c r="F72" i="132"/>
  <c r="F73" i="132" s="1"/>
  <c r="R385" i="132"/>
  <c r="F327" i="132"/>
  <c r="C73" i="132"/>
  <c r="R386" i="132"/>
  <c r="I326" i="132"/>
  <c r="M46" i="132" s="1"/>
  <c r="E152" i="132"/>
  <c r="C377" i="132"/>
  <c r="C337" i="132"/>
  <c r="C130" i="132"/>
  <c r="E329" i="132"/>
  <c r="E331" i="132" s="1"/>
  <c r="F148" i="132"/>
  <c r="L35" i="130"/>
  <c r="J106" i="132" l="1"/>
  <c r="K49" i="132" s="1"/>
  <c r="I49" i="132" s="1"/>
  <c r="J61" i="132"/>
  <c r="K46" i="132" s="1"/>
  <c r="I46" i="132" s="1"/>
  <c r="J128" i="132"/>
  <c r="F329" i="132"/>
  <c r="J172" i="132"/>
  <c r="J150" i="132"/>
  <c r="J72" i="132"/>
  <c r="K47" i="132" s="1"/>
  <c r="I47" i="132" s="1"/>
  <c r="E336" i="132"/>
  <c r="P336" i="132" s="1"/>
  <c r="E334" i="132"/>
  <c r="D389" i="132"/>
  <c r="P380" i="132" s="1"/>
  <c r="D378" i="132"/>
  <c r="D388" i="132"/>
  <c r="P377" i="132" s="1"/>
  <c r="C389" i="132"/>
  <c r="K380" i="132" s="1"/>
  <c r="C378" i="132"/>
  <c r="C388" i="132"/>
  <c r="K377" i="132" s="1"/>
  <c r="F331" i="132"/>
  <c r="G233" i="130"/>
  <c r="L37" i="130"/>
  <c r="J176" i="132" l="1"/>
  <c r="J177" i="132" s="1"/>
  <c r="C177" i="132" s="1"/>
  <c r="C183" i="132" s="1"/>
  <c r="D177" i="132"/>
  <c r="C178" i="132"/>
  <c r="C180" i="132" s="1"/>
  <c r="C184" i="132" s="1"/>
  <c r="C188" i="132"/>
  <c r="F336" i="132"/>
  <c r="Q336" i="132" s="1"/>
  <c r="F334" i="132"/>
  <c r="C390" i="132"/>
  <c r="J379" i="132" s="1"/>
  <c r="C384" i="132"/>
  <c r="K378" i="132" s="1"/>
  <c r="C385" i="132"/>
  <c r="D390" i="132"/>
  <c r="O379" i="132" s="1"/>
  <c r="D385" i="132"/>
  <c r="D384" i="132"/>
  <c r="P378" i="132" s="1"/>
  <c r="E377" i="132"/>
  <c r="E337" i="132"/>
  <c r="O348" i="130"/>
  <c r="O344" i="130"/>
  <c r="O345" i="130" s="1"/>
  <c r="C179" i="132" l="1"/>
  <c r="C181" i="132" s="1"/>
  <c r="C185" i="132" s="1"/>
  <c r="C189" i="132" s="1"/>
  <c r="C186" i="132" s="1"/>
  <c r="C182" i="132"/>
  <c r="C190" i="132" s="1"/>
  <c r="C187" i="132" s="1"/>
  <c r="O378" i="132"/>
  <c r="D386" i="132"/>
  <c r="E389" i="132"/>
  <c r="K387" i="132" s="1"/>
  <c r="E378" i="132"/>
  <c r="E388" i="132"/>
  <c r="K384" i="132" s="1"/>
  <c r="C386" i="132"/>
  <c r="J378" i="132"/>
  <c r="F377" i="132"/>
  <c r="F337" i="132"/>
  <c r="D183" i="132"/>
  <c r="E177" i="132"/>
  <c r="D182" i="132"/>
  <c r="D179" i="132"/>
  <c r="D181" i="132" s="1"/>
  <c r="D185" i="132" s="1"/>
  <c r="D178" i="132"/>
  <c r="D180" i="132" s="1"/>
  <c r="D184" i="132" s="1"/>
  <c r="D188" i="132"/>
  <c r="G54" i="131"/>
  <c r="H54" i="131"/>
  <c r="I54" i="131"/>
  <c r="F54" i="131"/>
  <c r="C232" i="130"/>
  <c r="D189" i="132" l="1"/>
  <c r="D186" i="132" s="1"/>
  <c r="C196" i="132"/>
  <c r="C193" i="132"/>
  <c r="C194" i="132"/>
  <c r="C195" i="132"/>
  <c r="E390" i="132"/>
  <c r="J386" i="132" s="1"/>
  <c r="E385" i="132"/>
  <c r="E384" i="132"/>
  <c r="K385" i="132" s="1"/>
  <c r="E183" i="132"/>
  <c r="F177" i="132"/>
  <c r="E182" i="132"/>
  <c r="E179" i="132"/>
  <c r="E181" i="132" s="1"/>
  <c r="E185" i="132" s="1"/>
  <c r="E178" i="132"/>
  <c r="E180" i="132" s="1"/>
  <c r="E184" i="132" s="1"/>
  <c r="E188" i="132"/>
  <c r="D190" i="132"/>
  <c r="D187" i="132" s="1"/>
  <c r="F389" i="132"/>
  <c r="P387" i="132" s="1"/>
  <c r="F378" i="132"/>
  <c r="F388" i="132"/>
  <c r="P384" i="132" s="1"/>
  <c r="F30" i="131"/>
  <c r="C197" i="132" l="1"/>
  <c r="C206" i="132" s="1"/>
  <c r="C211" i="132" s="1"/>
  <c r="C219" i="132"/>
  <c r="C220" i="132" s="1"/>
  <c r="C222" i="132" s="1"/>
  <c r="C224" i="132" s="1"/>
  <c r="C198" i="132"/>
  <c r="C212" i="132" s="1"/>
  <c r="C214" i="132" s="1"/>
  <c r="E190" i="132"/>
  <c r="E187" i="132" s="1"/>
  <c r="E189" i="132"/>
  <c r="E186" i="132" s="1"/>
  <c r="F390" i="132"/>
  <c r="O386" i="132" s="1"/>
  <c r="F384" i="132"/>
  <c r="P385" i="132" s="1"/>
  <c r="F385" i="132"/>
  <c r="D193" i="132"/>
  <c r="F183" i="132"/>
  <c r="F182" i="132"/>
  <c r="F179" i="132"/>
  <c r="F181" i="132" s="1"/>
  <c r="F185" i="132" s="1"/>
  <c r="F178" i="132"/>
  <c r="F180" i="132" s="1"/>
  <c r="F184" i="132" s="1"/>
  <c r="F188" i="132"/>
  <c r="D194" i="132"/>
  <c r="D196" i="132"/>
  <c r="D195" i="132"/>
  <c r="E386" i="132"/>
  <c r="J385" i="132"/>
  <c r="J226" i="130"/>
  <c r="C204" i="132" l="1"/>
  <c r="F190" i="132"/>
  <c r="F187" i="132" s="1"/>
  <c r="C216" i="132"/>
  <c r="E195" i="132"/>
  <c r="E194" i="132"/>
  <c r="E196" i="132"/>
  <c r="E193" i="132"/>
  <c r="F189" i="132"/>
  <c r="F186" i="132" s="1"/>
  <c r="R193" i="132"/>
  <c r="O385" i="132"/>
  <c r="F386" i="132"/>
  <c r="D219" i="132"/>
  <c r="D220" i="132" s="1"/>
  <c r="D222" i="132" s="1"/>
  <c r="D198" i="132"/>
  <c r="D212" i="132" s="1"/>
  <c r="D197" i="132"/>
  <c r="F22" i="131"/>
  <c r="F24" i="131"/>
  <c r="F28" i="131" s="1"/>
  <c r="F37" i="131" s="1"/>
  <c r="F45" i="131" s="1"/>
  <c r="F193" i="132" l="1"/>
  <c r="F195" i="132"/>
  <c r="F196" i="132"/>
  <c r="E198" i="132"/>
  <c r="E212" i="132" s="1"/>
  <c r="E214" i="132" s="1"/>
  <c r="E219" i="132"/>
  <c r="E220" i="132" s="1"/>
  <c r="E222" i="132" s="1"/>
  <c r="E224" i="132" s="1"/>
  <c r="E197" i="132"/>
  <c r="F194" i="132"/>
  <c r="D224" i="132"/>
  <c r="D216" i="132"/>
  <c r="D214" i="132"/>
  <c r="K193" i="132"/>
  <c r="L193" i="132"/>
  <c r="D206" i="132"/>
  <c r="D204" i="132"/>
  <c r="F219" i="132"/>
  <c r="F220" i="132" s="1"/>
  <c r="F222" i="132" s="1"/>
  <c r="F224" i="132" s="1"/>
  <c r="F197" i="132"/>
  <c r="F32" i="131"/>
  <c r="F41" i="131" s="1"/>
  <c r="F198" i="132" l="1"/>
  <c r="F212" i="132" s="1"/>
  <c r="J212" i="132" s="1"/>
  <c r="L51" i="132" s="1"/>
  <c r="I51" i="132" s="1"/>
  <c r="E216" i="132"/>
  <c r="E206" i="132"/>
  <c r="E211" i="132" s="1"/>
  <c r="E204" i="132"/>
  <c r="J42" i="132"/>
  <c r="K42" i="132" s="1"/>
  <c r="J41" i="132"/>
  <c r="K41" i="132" s="1"/>
  <c r="J40" i="132"/>
  <c r="K40" i="132" s="1"/>
  <c r="D211" i="132"/>
  <c r="J43" i="132"/>
  <c r="K43" i="132" s="1"/>
  <c r="F206" i="132"/>
  <c r="F211" i="132" s="1"/>
  <c r="F204" i="132"/>
  <c r="B336" i="130"/>
  <c r="F4" i="131"/>
  <c r="F214" i="132" l="1"/>
  <c r="F216" i="132"/>
  <c r="J206" i="132"/>
  <c r="L50" i="132" s="1"/>
  <c r="I50" i="132" s="1"/>
  <c r="C215" i="130"/>
  <c r="C137" i="130"/>
  <c r="C136" i="130"/>
  <c r="C51" i="130"/>
  <c r="C50" i="130"/>
  <c r="F66" i="131" s="1"/>
  <c r="C123" i="130"/>
  <c r="C208" i="130" l="1"/>
  <c r="C8" i="130" l="1"/>
  <c r="C69" i="130" l="1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60" i="130" l="1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10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12" i="130"/>
  <c r="C57" i="130" s="1"/>
  <c r="D54" i="130"/>
  <c r="C283" i="130" l="1"/>
  <c r="C284" i="130"/>
  <c r="C293" i="130" s="1"/>
  <c r="C312" i="130" s="1"/>
  <c r="D69" i="130" a="1"/>
  <c r="D68" i="130" a="1"/>
  <c r="C46" i="130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O25" i="131" l="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D213" i="130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H21" i="131" l="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<sst xmlns="http://schemas.openxmlformats.org/spreadsheetml/2006/main" count="1717" uniqueCount="412">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</sst>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</cellStyleXfs>
  <cellXfs count="437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 applyBorder="1"/>
    <xf numFmtId="0" fontId="52" fillId="11" borderId="0" xfId="0" applyFont="1" applyFill="1" applyBorder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0" fillId="0" borderId="10" xfId="0" applyNumberFormat="1" applyBorder="1"/>
    <xf numFmtId="2" fontId="7" fillId="0" borderId="25" xfId="0" applyNumberFormat="1" applyFont="1" applyBorder="1"/>
    <xf numFmtId="2" fontId="0" fillId="0" borderId="26" xfId="0" applyNumberFormat="1" applyBorder="1"/>
    <xf numFmtId="2" fontId="0" fillId="0" borderId="27" xfId="0" applyNumberFormat="1" applyBorder="1"/>
    <xf numFmtId="2" fontId="0" fillId="0" borderId="23" xfId="0" applyNumberFormat="1" applyBorder="1"/>
    <xf numFmtId="2" fontId="3" fillId="0" borderId="16" xfId="0" applyNumberFormat="1" applyFont="1" applyBorder="1"/>
    <xf numFmtId="2" fontId="0" fillId="0" borderId="17" xfId="0" applyNumberFormat="1" applyBorder="1"/>
    <xf numFmtId="0" fontId="0" fillId="0" borderId="0" xfId="0" quotePrefix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166" fontId="7" fillId="0" borderId="46" xfId="0" applyNumberFormat="1" applyFont="1" applyBorder="1"/>
  </cellXfs>
  <cellStyles count="9">
    <cellStyle name="Cálculo" xfId="7" builtinId="22"/>
    <cellStyle name="Entrada" xfId="5" builtinId="20"/>
    <cellStyle name="Entrada 2" xfId="8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146.75857827918801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201.18902521785091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166.43092060185606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4496"/>
        <c:axId val="185235072"/>
      </c:scatterChart>
      <c:valAx>
        <c:axId val="18523449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5072"/>
        <c:crosses val="autoZero"/>
        <c:crossBetween val="midCat"/>
        <c:majorUnit val="150"/>
      </c:valAx>
      <c:valAx>
        <c:axId val="18523507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163.0159366369075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222.91371798103455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179.18668274713374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6224"/>
        <c:axId val="185236800"/>
        <c:extLst xmlns:c16r2="http://schemas.microsoft.com/office/drawing/2015/06/chart"/>
      </c:scatterChart>
      <c:valAx>
        <c:axId val="18523622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6800"/>
        <c:crosses val="autoZero"/>
        <c:crossBetween val="midCat"/>
        <c:majorUnit val="150"/>
      </c:valAx>
      <c:valAx>
        <c:axId val="18523680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185.57870744429954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252.88289510534597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195.52465963436433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68864"/>
        <c:axId val="213469440"/>
        <c:extLst xmlns:c16r2="http://schemas.microsoft.com/office/drawing/2015/06/chart"/>
      </c:scatterChart>
      <c:valAx>
        <c:axId val="21346886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69440"/>
        <c:crosses val="autoZero"/>
        <c:crossBetween val="midCat"/>
        <c:majorUnit val="150"/>
      </c:valAx>
      <c:valAx>
        <c:axId val="2134694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6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246.6468591803187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332.95835788570815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233.23839886999448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71744"/>
        <c:axId val="213472320"/>
        <c:extLst xmlns:c16r2="http://schemas.microsoft.com/office/drawing/2015/06/chart"/>
      </c:scatterChart>
      <c:valAx>
        <c:axId val="21347174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72320"/>
        <c:crosses val="autoZero"/>
        <c:crossBetween val="midCat"/>
        <c:majorUnit val="150"/>
      </c:valAx>
      <c:valAx>
        <c:axId val="2134723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(2)'!$K$377:$K$380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(2)'!$L$377</c:f>
              <c:numCache>
                <c:formatCode>0.00</c:formatCode>
                <c:ptCount val="1"/>
                <c:pt idx="0">
                  <c:v>211.11817744603243</c:v>
                </c:pt>
              </c:numCache>
            </c:numRef>
          </c:xVal>
          <c:yVal>
            <c:numRef>
              <c:f>'Dis_Cuadrado (2)'!$M$377</c:f>
              <c:numCache>
                <c:formatCode>0.00</c:formatCode>
                <c:ptCount val="1"/>
                <c:pt idx="0">
                  <c:v>-1114.4609999999998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(2)'!$L$378</c:f>
              <c:numCache>
                <c:formatCode>0.00</c:formatCode>
                <c:ptCount val="1"/>
                <c:pt idx="0">
                  <c:v>94.838108141822403</c:v>
                </c:pt>
              </c:numCache>
            </c:numRef>
          </c:xVal>
          <c:yVal>
            <c:numRef>
              <c:f>'Dis_Cuadrado (2)'!$M$378</c:f>
              <c:numCache>
                <c:formatCode>0.00</c:formatCode>
                <c:ptCount val="1"/>
                <c:pt idx="0">
                  <c:v>891.26099999999985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(2)'!$L$379</c:f>
              <c:numCache>
                <c:formatCode>0.00</c:formatCode>
                <c:ptCount val="1"/>
                <c:pt idx="0">
                  <c:v>286.55515229292666</c:v>
                </c:pt>
              </c:numCache>
            </c:numRef>
          </c:xVal>
          <c:yVal>
            <c:numRef>
              <c:f>'Dis_Cuadrado (2)'!$M$379</c:f>
              <c:numCache>
                <c:formatCode>0.00</c:formatCode>
                <c:ptCount val="1"/>
                <c:pt idx="0">
                  <c:v>-1043.6115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(2)'!$L$380</c:f>
              <c:numCache>
                <c:formatCode>0.00</c:formatCode>
                <c:ptCount val="1"/>
                <c:pt idx="0">
                  <c:v>212.34487439291641</c:v>
                </c:pt>
              </c:numCache>
            </c:numRef>
          </c:xVal>
          <c:yVal>
            <c:numRef>
              <c:f>'Dis_Cuadrado (2)'!$M$380</c:f>
              <c:numCache>
                <c:formatCode>0.00</c:formatCode>
                <c:ptCount val="1"/>
                <c:pt idx="0">
                  <c:v>-204.066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96192"/>
        <c:axId val="222096768"/>
      </c:scatterChart>
      <c:valAx>
        <c:axId val="22209619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6768"/>
        <c:crosses val="autoZero"/>
        <c:crossBetween val="midCat"/>
        <c:majorUnit val="150"/>
      </c:valAx>
      <c:valAx>
        <c:axId val="22209676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(2)'!$AA$5</c:f>
          <c:strCache>
            <c:ptCount val="1"/>
            <c:pt idx="0">
              <c:v>DIAGRAMA FLEXOCOMPRESIÓN PEDESTAL Hp=0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(2)'!$P$377:$P$380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(2)'!$Q$377</c:f>
              <c:numCache>
                <c:formatCode>0.00</c:formatCode>
                <c:ptCount val="1"/>
                <c:pt idx="0">
                  <c:v>124.86458364151562</c:v>
                </c:pt>
              </c:numCache>
            </c:numRef>
          </c:xVal>
          <c:yVal>
            <c:numRef>
              <c:f>'Dis_Cuadrado (2)'!$R$377</c:f>
              <c:numCache>
                <c:formatCode>0.00</c:formatCode>
                <c:ptCount val="1"/>
                <c:pt idx="0">
                  <c:v>-1108.4609999999998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(2)'!$Q$378</c:f>
              <c:numCache>
                <c:formatCode>0.00</c:formatCode>
                <c:ptCount val="1"/>
                <c:pt idx="0">
                  <c:v>68.494189213538405</c:v>
                </c:pt>
              </c:numCache>
            </c:numRef>
          </c:xVal>
          <c:yVal>
            <c:numRef>
              <c:f>'Dis_Cuadrado (2)'!$R$378</c:f>
              <c:numCache>
                <c:formatCode>0.00</c:formatCode>
                <c:ptCount val="1"/>
                <c:pt idx="0">
                  <c:v>897.26099999999985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(2)'!$Q$379</c:f>
              <c:numCache>
                <c:formatCode>0.00</c:formatCode>
                <c:ptCount val="1"/>
                <c:pt idx="0">
                  <c:v>171.75524608091013</c:v>
                </c:pt>
              </c:numCache>
            </c:numRef>
          </c:xVal>
          <c:yVal>
            <c:numRef>
              <c:f>'Dis_Cuadrado (2)'!$R$379</c:f>
              <c:numCache>
                <c:formatCode>0.00</c:formatCode>
                <c:ptCount val="1"/>
                <c:pt idx="0">
                  <c:v>-1037.6115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(2)'!$Q$380</c:f>
              <c:numCache>
                <c:formatCode>0.00</c:formatCode>
                <c:ptCount val="1"/>
                <c:pt idx="0">
                  <c:v>147.76681244486056</c:v>
                </c:pt>
              </c:numCache>
            </c:numRef>
          </c:xVal>
          <c:yVal>
            <c:numRef>
              <c:f>'Dis_Cuadrado (2)'!$R$380</c:f>
              <c:numCache>
                <c:formatCode>0.00</c:formatCode>
                <c:ptCount val="1"/>
                <c:pt idx="0">
                  <c:v>-198.066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98496"/>
        <c:axId val="222099072"/>
        <c:extLst xmlns:c16r2="http://schemas.microsoft.com/office/drawing/2015/06/chart"/>
      </c:scatterChart>
      <c:valAx>
        <c:axId val="22209849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9072"/>
        <c:crosses val="autoZero"/>
        <c:crossBetween val="midCat"/>
        <c:majorUnit val="150"/>
      </c:valAx>
      <c:valAx>
        <c:axId val="22209907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(2)'!$AB$5</c:f>
          <c:strCache>
            <c:ptCount val="1"/>
            <c:pt idx="0">
              <c:v>DIAGRAMA FLEXOCOMPRESIÓN PEDESTAL Hp=0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(2)'!$K$384:$K$387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(2)'!$L$384</c:f>
              <c:numCache>
                <c:formatCode>0.00</c:formatCode>
                <c:ptCount val="1"/>
                <c:pt idx="0">
                  <c:v>124.86458364151562</c:v>
                </c:pt>
              </c:numCache>
            </c:numRef>
          </c:xVal>
          <c:yVal>
            <c:numRef>
              <c:f>'Dis_Cuadrado (2)'!$M$384</c:f>
              <c:numCache>
                <c:formatCode>0.00</c:formatCode>
                <c:ptCount val="1"/>
                <c:pt idx="0">
                  <c:v>-1108.4609999999998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(2)'!$L$385</c:f>
              <c:numCache>
                <c:formatCode>0.00</c:formatCode>
                <c:ptCount val="1"/>
                <c:pt idx="0">
                  <c:v>68.494189213538405</c:v>
                </c:pt>
              </c:numCache>
            </c:numRef>
          </c:xVal>
          <c:yVal>
            <c:numRef>
              <c:f>'Dis_Cuadrado (2)'!$M$385</c:f>
              <c:numCache>
                <c:formatCode>0.00</c:formatCode>
                <c:ptCount val="1"/>
                <c:pt idx="0">
                  <c:v>897.26099999999985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(2)'!$L$386</c:f>
              <c:numCache>
                <c:formatCode>0.00</c:formatCode>
                <c:ptCount val="1"/>
                <c:pt idx="0">
                  <c:v>171.75524608091013</c:v>
                </c:pt>
              </c:numCache>
            </c:numRef>
          </c:xVal>
          <c:yVal>
            <c:numRef>
              <c:f>'Dis_Cuadrado (2)'!$M$386</c:f>
              <c:numCache>
                <c:formatCode>0.00</c:formatCode>
                <c:ptCount val="1"/>
                <c:pt idx="0">
                  <c:v>-1037.6115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(2)'!$L$387</c:f>
              <c:numCache>
                <c:formatCode>0.00</c:formatCode>
                <c:ptCount val="1"/>
                <c:pt idx="0">
                  <c:v>147.76681244486056</c:v>
                </c:pt>
              </c:numCache>
            </c:numRef>
          </c:xVal>
          <c:yVal>
            <c:numRef>
              <c:f>'Dis_Cuadrado (2)'!$M$387</c:f>
              <c:numCache>
                <c:formatCode>0.00</c:formatCode>
                <c:ptCount val="1"/>
                <c:pt idx="0">
                  <c:v>-198.066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12800"/>
        <c:axId val="222413376"/>
        <c:extLst xmlns:c16r2="http://schemas.microsoft.com/office/drawing/2015/06/chart"/>
      </c:scatterChart>
      <c:valAx>
        <c:axId val="22241280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3376"/>
        <c:crosses val="autoZero"/>
        <c:crossBetween val="midCat"/>
        <c:majorUnit val="150"/>
      </c:valAx>
      <c:valAx>
        <c:axId val="22241337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(2)'!$AC$5</c:f>
          <c:strCache>
            <c:ptCount val="1"/>
            <c:pt idx="0">
              <c:v>DIAGRAMA FLEXOCOMPRESIÓN PEDESTAL Hp=0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(2)'!$P$384:$P$387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(2)'!$Q$384</c:f>
              <c:numCache>
                <c:formatCode>0.00</c:formatCode>
                <c:ptCount val="1"/>
                <c:pt idx="0">
                  <c:v>124.86458364151562</c:v>
                </c:pt>
              </c:numCache>
            </c:numRef>
          </c:xVal>
          <c:yVal>
            <c:numRef>
              <c:f>'Dis_Cuadrado (2)'!$R$384</c:f>
              <c:numCache>
                <c:formatCode>0.00</c:formatCode>
                <c:ptCount val="1"/>
                <c:pt idx="0">
                  <c:v>-1108.4609999999998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(2)'!$Q$385</c:f>
              <c:numCache>
                <c:formatCode>0.00</c:formatCode>
                <c:ptCount val="1"/>
                <c:pt idx="0">
                  <c:v>68.494189213538405</c:v>
                </c:pt>
              </c:numCache>
            </c:numRef>
          </c:xVal>
          <c:yVal>
            <c:numRef>
              <c:f>'Dis_Cuadrado (2)'!$R$385</c:f>
              <c:numCache>
                <c:formatCode>0.00</c:formatCode>
                <c:ptCount val="1"/>
                <c:pt idx="0">
                  <c:v>897.26099999999985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(2)'!$Q$386</c:f>
              <c:numCache>
                <c:formatCode>0.00</c:formatCode>
                <c:ptCount val="1"/>
                <c:pt idx="0">
                  <c:v>171.75524608091013</c:v>
                </c:pt>
              </c:numCache>
            </c:numRef>
          </c:xVal>
          <c:yVal>
            <c:numRef>
              <c:f>'Dis_Cuadrado (2)'!$R$386</c:f>
              <c:numCache>
                <c:formatCode>0.00</c:formatCode>
                <c:ptCount val="1"/>
                <c:pt idx="0">
                  <c:v>-1037.6115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(2)'!$Q$387</c:f>
              <c:numCache>
                <c:formatCode>0.00</c:formatCode>
                <c:ptCount val="1"/>
                <c:pt idx="0">
                  <c:v>147.76681244486056</c:v>
                </c:pt>
              </c:numCache>
            </c:numRef>
          </c:xVal>
          <c:yVal>
            <c:numRef>
              <c:f>'Dis_Cuadrado (2)'!$R$387</c:f>
              <c:numCache>
                <c:formatCode>0.00</c:formatCode>
                <c:ptCount val="1"/>
                <c:pt idx="0">
                  <c:v>-198.066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15680"/>
        <c:axId val="222416256"/>
        <c:extLst xmlns:c16r2="http://schemas.microsoft.com/office/drawing/2015/06/chart"/>
      </c:scatterChart>
      <c:valAx>
        <c:axId val="222415680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6256"/>
        <c:crosses val="autoZero"/>
        <c:crossBetween val="midCat"/>
        <c:majorUnit val="150"/>
      </c:valAx>
      <c:valAx>
        <c:axId val="22241625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9155178" y="39182845"/>
          <a:ext cx="1476278" cy="648546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910694" y="39023823"/>
          <a:ext cx="1967565" cy="1996314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613174" y="41316518"/>
          <a:ext cx="2469830" cy="1355867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232020" y="37667960"/>
          <a:ext cx="985028" cy="1283395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191231" y="43211223"/>
          <a:ext cx="977682" cy="611734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9051883" y="53668457"/>
          <a:ext cx="2053011" cy="802794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pSpPr/>
      </xdr:nvGrpSpPr>
      <xdr:grpSpPr>
        <a:xfrm>
          <a:off x="154512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xmlns="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10</xdr:col>
      <xdr:colOff>3754</xdr:colOff>
      <xdr:row>205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10313565" y="39287620"/>
          <a:ext cx="1472614" cy="650744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211</xdr:row>
      <xdr:rowOff>6388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3058090" y="39126400"/>
          <a:ext cx="1960238" cy="2000710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2760570" y="41420560"/>
          <a:ext cx="2458840" cy="13558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10390407" y="37766141"/>
          <a:ext cx="981364" cy="1287791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10349618" y="43317463"/>
          <a:ext cx="974018" cy="611002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68631" y="54625876"/>
          <a:ext cx="2340754" cy="765217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10210270" y="53794480"/>
          <a:ext cx="2045684" cy="806458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089478" y="56300961"/>
          <a:ext cx="1748440" cy="502994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82910" y="58054875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63202" y="5920740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89478" y="60395725"/>
          <a:ext cx="573357" cy="175431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184870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62297" y="66739192"/>
          <a:ext cx="1340172" cy="60645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A28" zoomScale="130" zoomScaleNormal="130" zoomScaleSheetLayoutView="80" workbookViewId="0">
      <selection activeCell="F34" sqref="F34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62" t="s">
        <v>390</v>
      </c>
      <c r="B2" s="363"/>
      <c r="C2" s="124"/>
      <c r="D2" s="124"/>
      <c r="E2" s="124"/>
      <c r="F2" s="124"/>
      <c r="G2" s="124"/>
      <c r="H2" s="122"/>
      <c r="I2" s="100"/>
      <c r="J2" s="306">
        <v>2</v>
      </c>
      <c r="Q2" s="366" t="s">
        <v>0</v>
      </c>
      <c r="R2" s="367"/>
      <c r="S2" s="367"/>
      <c r="T2" s="367"/>
      <c r="U2" s="367"/>
      <c r="V2" s="368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64"/>
      <c r="B3" s="365"/>
      <c r="C3" s="50"/>
      <c r="H3" s="28"/>
      <c r="I3" s="100"/>
      <c r="J3" s="203"/>
      <c r="L3" s="31"/>
      <c r="M3" s="31"/>
      <c r="N3" s="31"/>
      <c r="O3" s="31"/>
      <c r="P3" s="31"/>
      <c r="Q3" s="369" t="s">
        <v>1</v>
      </c>
      <c r="R3" s="370"/>
      <c r="S3" s="370"/>
      <c r="T3" s="370"/>
      <c r="U3" s="370"/>
      <c r="V3" s="371"/>
      <c r="W3" s="138"/>
      <c r="X3" s="138"/>
      <c r="Y3" s="138"/>
      <c r="Z3" s="138"/>
      <c r="AE3" s="141"/>
      <c r="AF3" s="142"/>
      <c r="AH3" s="142"/>
      <c r="AI3" s="142"/>
      <c r="AJ3" s="372"/>
      <c r="AK3" s="372"/>
      <c r="AL3" s="372"/>
      <c r="AM3" s="372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73" t="s">
        <v>14</v>
      </c>
      <c r="G6" s="374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69" t="s">
        <v>27</v>
      </c>
      <c r="R11" s="370"/>
      <c r="S11" s="370"/>
      <c r="T11" s="370"/>
      <c r="U11" s="370"/>
      <c r="V11" s="371"/>
      <c r="W11" s="375"/>
      <c r="X11" s="375"/>
      <c r="Y11" s="375"/>
      <c r="Z11" s="375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28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76" t="s">
        <v>34</v>
      </c>
      <c r="D19" s="377"/>
      <c r="E19" s="377"/>
      <c r="F19" s="377" t="s">
        <v>35</v>
      </c>
      <c r="G19" s="377"/>
      <c r="H19" s="378"/>
      <c r="I19" s="100"/>
      <c r="J19" s="377" t="s">
        <v>34</v>
      </c>
      <c r="K19" s="377"/>
      <c r="L19" s="377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76" t="s">
        <v>34</v>
      </c>
      <c r="D27" s="377"/>
      <c r="E27" s="377"/>
      <c r="F27" s="377" t="s">
        <v>35</v>
      </c>
      <c r="G27" s="377"/>
      <c r="H27" s="378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0.89704515660632644</v>
      </c>
      <c r="J46" s="100" t="s">
        <v>301</v>
      </c>
      <c r="K46" s="203">
        <f>+J61</f>
        <v>1.4263017990040592</v>
      </c>
      <c r="L46" s="162">
        <v>1.5</v>
      </c>
      <c r="M46" s="313">
        <f>+I326</f>
        <v>0.75095728593518174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0.81324773232026049</v>
      </c>
      <c r="J47" s="100" t="s">
        <v>302</v>
      </c>
      <c r="K47" s="203">
        <f>+J72</f>
        <v>1.2930638943892141</v>
      </c>
      <c r="L47" s="162">
        <v>1.5</v>
      </c>
      <c r="M47" s="314">
        <f>+I327</f>
        <v>0.39541581281970789</v>
      </c>
    </row>
    <row r="48" spans="1:16" ht="15.75" thickBot="1">
      <c r="A48" s="252"/>
      <c r="B48" s="200" t="s">
        <v>58</v>
      </c>
      <c r="C48" s="4"/>
      <c r="H48" s="28"/>
      <c r="I48" s="4">
        <f t="shared" si="20"/>
        <v>15.61827291493284</v>
      </c>
      <c r="J48" s="100" t="s">
        <v>303</v>
      </c>
      <c r="K48" s="203">
        <f>+J82</f>
        <v>24.833053934743216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0.62495630979064942</v>
      </c>
      <c r="J49" s="100" t="s">
        <v>304</v>
      </c>
      <c r="K49" s="203">
        <f>+L106/MAX(J106,J150,J172,J128)</f>
        <v>0.66245368837808838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1.362212100342961</v>
      </c>
      <c r="J50" s="100" t="s">
        <v>324</v>
      </c>
      <c r="K50" s="203">
        <f>+L206</f>
        <v>1.3228756555322954</v>
      </c>
      <c r="L50" s="203">
        <f>+J206</f>
        <v>0.91615388024475519</v>
      </c>
    </row>
    <row r="51" spans="1:12" ht="17.25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1.234305104999772</v>
      </c>
      <c r="J51" s="100" t="s">
        <v>323</v>
      </c>
      <c r="K51" s="203">
        <f>+L212</f>
        <v>657.79991971343395</v>
      </c>
      <c r="L51" s="203">
        <f>+J212</f>
        <v>502.76545035752747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4.0847525576431361</v>
      </c>
      <c r="J52" s="100" t="s">
        <v>322</v>
      </c>
      <c r="K52" s="203">
        <f>+L348</f>
        <v>236.83396555322958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103.80000000000001</v>
      </c>
      <c r="D57" s="5">
        <f t="shared" ref="D57:F57" si="28">+D49*$C$12</f>
        <v>105</v>
      </c>
      <c r="E57" s="5">
        <f t="shared" si="28"/>
        <v>106.5</v>
      </c>
      <c r="F57" s="5">
        <f t="shared" si="28"/>
        <v>109.80000000000001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868.0101910270962</v>
      </c>
      <c r="D58" s="231">
        <f t="shared" ref="D58:F58" si="29">+D55+D56+D57</f>
        <v>869.21019102709624</v>
      </c>
      <c r="E58" s="231">
        <f t="shared" si="29"/>
        <v>870.71019102709624</v>
      </c>
      <c r="F58" s="231">
        <f t="shared" si="29"/>
        <v>874.0101910270962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1.4263017990040592</v>
      </c>
      <c r="D61" s="17">
        <f t="shared" ref="D61:F61" si="31">+D58/D60</f>
        <v>1.4282736216583296</v>
      </c>
      <c r="E61" s="17">
        <f t="shared" si="31"/>
        <v>1.4307383999761678</v>
      </c>
      <c r="F61" s="17">
        <f t="shared" si="31"/>
        <v>1.4361609122754115</v>
      </c>
      <c r="G61" s="191"/>
      <c r="H61" s="28"/>
      <c r="I61" s="162" t="s">
        <v>301</v>
      </c>
      <c r="J61" s="203">
        <f>+MIN(C61:F61)</f>
        <v>1.4263017990040592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1367.8452539919849</v>
      </c>
      <c r="D70" s="5">
        <f t="shared" ref="D70:F70" si="35">+(D58)*D42/2+D66*(D43-2/3*D64)</f>
        <v>1369.6452539919849</v>
      </c>
      <c r="E70" s="5">
        <f t="shared" si="35"/>
        <v>1371.8952539919849</v>
      </c>
      <c r="F70" s="5">
        <f t="shared" si="35"/>
        <v>1376.8452539919849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1361.8298172031382</v>
      </c>
      <c r="D71" s="5">
        <f t="shared" ref="D71:F71" si="36">+(D58)*D42/2+D67*(D43-2/3*D65)</f>
        <v>1363.6298172031381</v>
      </c>
      <c r="E71" s="5">
        <f t="shared" si="36"/>
        <v>1365.8798172031381</v>
      </c>
      <c r="F71" s="5">
        <f t="shared" si="36"/>
        <v>1370.8298172031382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1.3287018309231715</v>
      </c>
      <c r="D72" s="17">
        <f t="shared" ref="D72:F72" si="37">+MIN(D70/D68,D71/D69)</f>
        <v>1.3213798720939454</v>
      </c>
      <c r="E72" s="17">
        <f t="shared" si="37"/>
        <v>1.3123666316710445</v>
      </c>
      <c r="F72" s="17">
        <f t="shared" si="37"/>
        <v>1.2930638943892141</v>
      </c>
      <c r="G72" s="193"/>
      <c r="H72" s="28"/>
      <c r="I72" s="100" t="s">
        <v>302</v>
      </c>
      <c r="J72" s="203">
        <f>+MIN(C72:F72)</f>
        <v>1.2930638943892141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1200.924</v>
      </c>
      <c r="D75" s="5">
        <f t="shared" ref="D75:F75" si="39">D56+D57-MIN($H$22:$H$25)</f>
        <v>1202.124</v>
      </c>
      <c r="E75" s="5">
        <f t="shared" si="39"/>
        <v>1203.624</v>
      </c>
      <c r="F75" s="5">
        <f t="shared" si="39"/>
        <v>1206.924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693.35379467628206</v>
      </c>
      <c r="D78" s="5">
        <f t="shared" ref="D78:F78" si="40">+IF($D$5="GRANULAR",D75*TAN($C$7*PI()/180),$C$9*D42^2)</f>
        <v>694.04661499930967</v>
      </c>
      <c r="E78" s="5">
        <f t="shared" si="40"/>
        <v>694.91264040309409</v>
      </c>
      <c r="F78" s="5">
        <f t="shared" si="40"/>
        <v>696.81789629141986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877.42629467628194</v>
      </c>
      <c r="D81" s="5">
        <f t="shared" ref="D81:F81" si="43">+D78+D79*3/4</f>
        <v>878.11911499930955</v>
      </c>
      <c r="E81" s="5">
        <f t="shared" si="43"/>
        <v>878.98514040309396</v>
      </c>
      <c r="F81" s="5">
        <f t="shared" si="43"/>
        <v>880.89039629141973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24.833053934743216</v>
      </c>
      <c r="D82" s="248">
        <f t="shared" ref="D82:F82" si="44">+D81/ (  MAX(D76:D77)  )</f>
        <v>24.852662242077084</v>
      </c>
      <c r="E82" s="248">
        <f t="shared" si="44"/>
        <v>24.877172626244416</v>
      </c>
      <c r="F82" s="248">
        <f t="shared" si="44"/>
        <v>24.931095471412554</v>
      </c>
      <c r="G82" s="195"/>
      <c r="H82" s="28"/>
      <c r="I82" s="100" t="s">
        <v>303</v>
      </c>
      <c r="J82" s="203">
        <f>+MIN(C82:F82)</f>
        <v>24.833053934743216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1849.1691375293624</v>
      </c>
      <c r="D94" s="201">
        <f>+(D$56+D$57+  IF(   $H$22&gt;0, 0, -$H$22   )  )*D$42/2 + D90*(D$43-2/3*D88)</f>
        <v>1850.9691375293626</v>
      </c>
      <c r="E94" s="201">
        <f>+(E$56+E$57+  IF(   $H$22&gt;0, 0, -$H$22   )  )*E$42/2 + E90*(E$43-2/3*E88)</f>
        <v>1853.2191375293626</v>
      </c>
      <c r="F94" s="201">
        <f>+(F$56+F$57+  IF(   $H$22&gt;0, 0, -$H$22   )  )*F$42/2 + F90*(F$43-2/3*F88)</f>
        <v>1858.1691375293624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1829.4576016872691</v>
      </c>
      <c r="D95" s="201">
        <f>+(D$56+D$57+   IF(   $H$22&gt;0, 0, -$H$22   )    )*D$42/2+D91*(D$43-2/3*D89)</f>
        <v>1831.2576016872692</v>
      </c>
      <c r="E95" s="201">
        <f>+(E$56+E$57+   IF(   $H$22&gt;0, 0, -$H$22   )    )*E$42/2+E91*(E$43-2/3*E89)</f>
        <v>1833.5076016872692</v>
      </c>
      <c r="F95" s="201">
        <f>+(F$56+F$57+   IF(   $H$22&gt;0, 0, -$H$22   )    )*F$42/2+F91*(F$43-2/3*F89)</f>
        <v>1838.4576016872691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11.564698312730707</v>
      </c>
      <c r="D96" s="201">
        <f>+D99*D98</f>
        <v>13.966898312730773</v>
      </c>
      <c r="E96" s="201">
        <f>+E99*E98</f>
        <v>16.969648312730708</v>
      </c>
      <c r="F96" s="201">
        <f>+F99*F98</f>
        <v>23.575698312730953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27.872662470637703</v>
      </c>
      <c r="D97" s="201">
        <f>+D100*D98</f>
        <v>32.457862470637473</v>
      </c>
      <c r="E97" s="201">
        <f>+E100*E98</f>
        <v>38.189362470637548</v>
      </c>
      <c r="F97" s="201">
        <f>+F100*F98</f>
        <v>50.798662470637566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1200.924</v>
      </c>
      <c r="D98" s="202">
        <f>+D$56+D$57+  IF(   $H$22&gt;0, -$H$22, -$H$22   )</f>
        <v>1202.124</v>
      </c>
      <c r="E98" s="202">
        <f>+E$56+E$57+  IF(   $H$22&gt;0, -$H$22, -$H$22   )</f>
        <v>1203.624</v>
      </c>
      <c r="F98" s="202">
        <f>+F$56+F$57+  IF(   $H$22&gt;0, -$H$22, -$H$22   )</f>
        <v>1206.924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9.6298336220532743E-3</v>
      </c>
      <c r="D99" s="202">
        <f>+ABS(D$42/2-(D95-D93)/D98)</f>
        <v>1.1618517151916752E-2</v>
      </c>
      <c r="E99" s="202">
        <f>+ABS(E$42/2-(E95-E93)/E98)</f>
        <v>1.4098795232340589E-2</v>
      </c>
      <c r="F99" s="202">
        <f>+ABS(F$42/2-(F95-F93)/F98)</f>
        <v>1.9533705778268518E-2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2.3209347527934909E-2</v>
      </c>
      <c r="D100" s="202">
        <f>+ABS(D$42/2-(D94-D92)/D98)</f>
        <v>2.7000427968027818E-2</v>
      </c>
      <c r="E100" s="202">
        <f>+ABS(E$42/2-(E94-E92)/E98)</f>
        <v>3.17286482079433E-2</v>
      </c>
      <c r="F100" s="202">
        <f>+ABS(F$42/2-(F94-F92)/F98)</f>
        <v>4.2089363100441757E-2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142.19985795185966</v>
      </c>
      <c r="D103" s="17">
        <f>+(D98/D$42^2)*(1+6*D99/D$42+6*D100/D$42)</f>
        <v>143.88594684074849</v>
      </c>
      <c r="E103" s="17">
        <f>+(E98/E$42^2)*(1+6*E99/E$42+6*E100/E$42)</f>
        <v>145.9935579518596</v>
      </c>
      <c r="F103" s="17">
        <f>+(F98/F$42^2)*(1+6*F99/F$42+6*F100/F$42)</f>
        <v>150.6303023963041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129.81200796490955</v>
      </c>
      <c r="D104" s="5">
        <f>+(D98/D$42^2)*(1+6*D99/D$42-6*D100/D$42)</f>
        <v>129.46023018713186</v>
      </c>
      <c r="E104" s="5">
        <f>+(E98/E$42^2)*(1+6*E99/E$42-6*E100/E$42)</f>
        <v>129.02050796490957</v>
      </c>
      <c r="F104" s="5">
        <f>+(F98/F$42^2)*(1+6*F99/F$42-6*F100/F$42)</f>
        <v>128.05311907602075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137.05999203509046</v>
      </c>
      <c r="D105" s="5">
        <f>+(D98/D$42^2)*(1-6*D99/D$42+6*D100/D$42)</f>
        <v>137.67843647953481</v>
      </c>
      <c r="E105" s="5">
        <f>+(E98/E$42^2)*(1-6*E99/E$42+6*E100/E$42)</f>
        <v>138.45149203509041</v>
      </c>
      <c r="F105" s="5">
        <f>+(F98/F$42^2)*(1-6*F99/F$42+6*F100/F$42)</f>
        <v>140.15221425731258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124.67214204814036</v>
      </c>
      <c r="D106" s="5">
        <f>+(D98/D$42^2)*(1-6*D99/D$42-6*D100/D$42)</f>
        <v>123.25271982591816</v>
      </c>
      <c r="E106" s="5">
        <f>+(E98/E$42^2)*(1-6*E99/E$42-6*E100/E$42)</f>
        <v>121.47844204814038</v>
      </c>
      <c r="F106" s="5">
        <f>+(F98/F$42^2)*(1-6*F99/F$42-6*F100/F$42)</f>
        <v>117.57503093702921</v>
      </c>
      <c r="G106" s="18" t="s">
        <v>13</v>
      </c>
      <c r="H106" s="28"/>
      <c r="I106" s="100" t="s">
        <v>304</v>
      </c>
      <c r="J106" s="203">
        <f>+MAX(C103:F106)</f>
        <v>150.6303023963041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1323.3773427811886</v>
      </c>
      <c r="D116" s="201">
        <f t="shared" ref="D116:F116" si="55">+(D$56+D$57+  IF(   $H$23&gt;0, +D$55, -$H$23   )  )*D$42/2 + D112*(D$43-2/3*D110)</f>
        <v>1325.1773427811886</v>
      </c>
      <c r="E116" s="201">
        <f t="shared" si="55"/>
        <v>1327.4273427811886</v>
      </c>
      <c r="F116" s="201">
        <f t="shared" si="55"/>
        <v>1332.3773427811886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1321.8037457936543</v>
      </c>
      <c r="D117" s="201">
        <f t="shared" ref="D117:F117" si="56">+(D$56+D$57+   IF(   $H$23&gt;0, +D$55, -$H$23   )    )*D$42/2+D113*(D$43-2/3*D111)</f>
        <v>1338.1019084449085</v>
      </c>
      <c r="E117" s="201">
        <f t="shared" si="56"/>
        <v>1340.3519084449085</v>
      </c>
      <c r="F117" s="201">
        <f t="shared" si="56"/>
        <v>1345.3019084449086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30.407840746989908</v>
      </c>
      <c r="D118" s="201">
        <f t="shared" ref="D118:F118" si="57">+D121*D120</f>
        <v>18.951878095735808</v>
      </c>
      <c r="E118" s="201">
        <f t="shared" si="57"/>
        <v>22.754628095735786</v>
      </c>
      <c r="F118" s="201">
        <f t="shared" si="57"/>
        <v>31.120678095735727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7.6086437594556298</v>
      </c>
      <c r="D119" s="201">
        <f t="shared" ref="D119:F119" si="58">+D122*D120</f>
        <v>9.3644437594557104</v>
      </c>
      <c r="E119" s="201">
        <f t="shared" si="58"/>
        <v>11.559193759455699</v>
      </c>
      <c r="F119" s="201">
        <f t="shared" si="58"/>
        <v>16.387643759455642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259.4361910270963</v>
      </c>
      <c r="D120" s="202">
        <f t="shared" ref="D120:F120" si="59">+D$56+D$57+  IF(   $H$23&gt;0, -$H$23+D$55, -$H$23   )</f>
        <v>260.63619102709629</v>
      </c>
      <c r="E120" s="202">
        <f t="shared" si="59"/>
        <v>262.13619102709629</v>
      </c>
      <c r="F120" s="202">
        <f t="shared" si="59"/>
        <v>265.4361910270963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0.11720739742056274</v>
      </c>
      <c r="D121" s="202">
        <f t="shared" ref="D121:F121" si="60">+ABS(D$42/2-(D117-D115)/D120)</f>
        <v>7.2713915980169963E-2</v>
      </c>
      <c r="E121" s="202">
        <f t="shared" si="60"/>
        <v>8.6804603387953039E-2</v>
      </c>
      <c r="F121" s="202">
        <f t="shared" si="60"/>
        <v>0.11724353779835117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2.9327611268625819E-2</v>
      </c>
      <c r="D122" s="202">
        <f t="shared" ref="D122:F122" si="61">+ABS(D$42/2-(D116-D114)/D120)</f>
        <v>3.5929176690900011E-2</v>
      </c>
      <c r="E122" s="202">
        <f t="shared" si="61"/>
        <v>4.4096138401052976E-2</v>
      </c>
      <c r="F122" s="202">
        <f t="shared" si="61"/>
        <v>6.1738543248545774E-2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37.274351115554154</v>
      </c>
      <c r="D125" s="17">
        <f t="shared" ref="D125:F125" si="63">+(D120/D$42^2)*(1+6*D121/D$42+6*D122/D$42)</f>
        <v>35.252092748608817</v>
      </c>
      <c r="E125" s="17">
        <f t="shared" si="63"/>
        <v>36.751537193053252</v>
      </c>
      <c r="F125" s="17">
        <f t="shared" si="63"/>
        <v>40.050314970831003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33.89273166690721</v>
      </c>
      <c r="D126" s="5">
        <f t="shared" ref="D126:F126" si="64">+(D120/D$42^2)*(1+6*D121/D$42-6*D122/D$42)</f>
        <v>31.090117744406278</v>
      </c>
      <c r="E126" s="5">
        <f t="shared" si="64"/>
        <v>31.614117744406272</v>
      </c>
      <c r="F126" s="5">
        <f t="shared" si="64"/>
        <v>32.766917744406278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23.759755228003083</v>
      </c>
      <c r="D127" s="5">
        <f t="shared" ref="D127:F127" si="65">+(D120/D$42^2)*(1-6*D121/D$42+6*D122/D$42)</f>
        <v>26.829035817170677</v>
      </c>
      <c r="E127" s="5">
        <f t="shared" si="65"/>
        <v>26.638369150504012</v>
      </c>
      <c r="F127" s="5">
        <f t="shared" si="65"/>
        <v>26.218902483837351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20.378135779356136</v>
      </c>
      <c r="D128" s="5">
        <f t="shared" ref="D128:F128" si="66">+(D120/D$42^2)*(1-6*D121/D$42-6*D122/D$42)</f>
        <v>22.667060812968138</v>
      </c>
      <c r="E128" s="5">
        <f t="shared" si="66"/>
        <v>21.500949701857035</v>
      </c>
      <c r="F128" s="5">
        <f t="shared" si="66"/>
        <v>18.935505257412618</v>
      </c>
      <c r="G128" s="18" t="s">
        <v>13</v>
      </c>
      <c r="H128" s="28"/>
      <c r="I128" s="100" t="s">
        <v>304</v>
      </c>
      <c r="J128" s="203">
        <f>+MAX(C125:F128)</f>
        <v>40.050314970831003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932.85005939101211</v>
      </c>
      <c r="D138" s="201">
        <f t="shared" ref="D138:F138" si="75">+(D$56+D$57+  IF(   $H$24&gt;0, +D$55, -$H$24   )  )*D$42/2 + D134*(D$43-2/3*D132)</f>
        <v>934.65005939101206</v>
      </c>
      <c r="E138" s="201">
        <f t="shared" si="75"/>
        <v>936.90005939101206</v>
      </c>
      <c r="F138" s="201">
        <f t="shared" si="75"/>
        <v>941.85005939101211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950.80553066249388</v>
      </c>
      <c r="D139" s="201">
        <f t="shared" ref="D139:F139" si="76">+(D$56+D$57+   IF(   $H$24&gt;0, +D$55, -$H$24   )    )*D$42/2+D135*(D$43-2/3*D133)</f>
        <v>952.60553066249383</v>
      </c>
      <c r="E139" s="201">
        <f t="shared" si="76"/>
        <v>954.85553066249383</v>
      </c>
      <c r="F139" s="201">
        <f t="shared" si="76"/>
        <v>959.80553066249388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42.076269337506154</v>
      </c>
      <c r="D140" s="201">
        <f t="shared" ref="D140:F140" si="77">+D143*D142</f>
        <v>48.25146933750608</v>
      </c>
      <c r="E140" s="201">
        <f t="shared" si="77"/>
        <v>55.970469337506088</v>
      </c>
      <c r="F140" s="201">
        <f t="shared" si="77"/>
        <v>72.952269337506223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22.164240608987832</v>
      </c>
      <c r="D141" s="201">
        <f t="shared" ref="D141:F141" si="78">+D144*D142</f>
        <v>26.044440608987948</v>
      </c>
      <c r="E141" s="201">
        <f t="shared" si="78"/>
        <v>30.894690608987787</v>
      </c>
      <c r="F141" s="201">
        <f t="shared" si="78"/>
        <v>41.565240608987899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593.99400000000003</v>
      </c>
      <c r="D142" s="202">
        <f t="shared" ref="D142:F142" si="79">+D$56+D$57+  IF(   $H$24&gt;0, -$H$24+D$55, -$H$24   )</f>
        <v>595.19399999999996</v>
      </c>
      <c r="E142" s="202">
        <f t="shared" si="79"/>
        <v>596.69399999999996</v>
      </c>
      <c r="F142" s="202">
        <f t="shared" si="79"/>
        <v>599.99400000000003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7.0836185782189975E-2</v>
      </c>
      <c r="D143" s="202">
        <f t="shared" ref="D143:F143" si="80">+ABS(D$42/2-(D139-D137)/D142)</f>
        <v>8.1068474039567073E-2</v>
      </c>
      <c r="E143" s="202">
        <f t="shared" si="80"/>
        <v>9.3800958845750237E-2</v>
      </c>
      <c r="F143" s="202">
        <f t="shared" si="80"/>
        <v>0.12158833144582482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3.7313913286982414E-2</v>
      </c>
      <c r="D144" s="202">
        <f t="shared" ref="D144:F144" si="81">+ABS(D$42/2-(D138-D136)/D142)</f>
        <v>4.3757901808465727E-2</v>
      </c>
      <c r="E144" s="202">
        <f t="shared" si="81"/>
        <v>5.1776439194943791E-2</v>
      </c>
      <c r="F144" s="202">
        <f t="shared" si="81"/>
        <v>6.9276093775917591E-2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80.275002210332005</v>
      </c>
      <c r="D147" s="17">
        <f t="shared" ref="D147:F147" si="83">+(D142/D$42^2)*(1+6*D143/D$42+6*D144/D$42)</f>
        <v>82.642868876998676</v>
      </c>
      <c r="E147" s="17">
        <f t="shared" si="83"/>
        <v>85.602702210331955</v>
      </c>
      <c r="F147" s="17">
        <f t="shared" si="83"/>
        <v>92.114335543665348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70.424228606337408</v>
      </c>
      <c r="D148" s="5">
        <f t="shared" ref="D148:F148" si="84">+(D142/D$42^2)*(1+6*D143/D$42-6*D144/D$42)</f>
        <v>71.067561939670696</v>
      </c>
      <c r="E148" s="5">
        <f t="shared" si="84"/>
        <v>71.871728606337385</v>
      </c>
      <c r="F148" s="5">
        <f t="shared" si="84"/>
        <v>73.640895273004062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61.574438060329271</v>
      </c>
      <c r="D149" s="5">
        <f t="shared" ref="D149:F149" si="85">+(D142/D$42^2)*(1-6*D143/D$42+6*D144/D$42)</f>
        <v>61.197771393662634</v>
      </c>
      <c r="E149" s="5">
        <f t="shared" si="85"/>
        <v>60.726938060329253</v>
      </c>
      <c r="F149" s="5">
        <f t="shared" si="85"/>
        <v>59.691104726995924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51.723664456334674</v>
      </c>
      <c r="D150" s="5">
        <f t="shared" ref="D150:F150" si="86">+(D142/D$42^2)*(1-6*D143/D$42-6*D144/D$42)</f>
        <v>49.622464456334662</v>
      </c>
      <c r="E150" s="5">
        <f t="shared" si="86"/>
        <v>46.995964456334683</v>
      </c>
      <c r="F150" s="5">
        <f t="shared" si="86"/>
        <v>41.217664456334639</v>
      </c>
      <c r="G150" s="18" t="s">
        <v>13</v>
      </c>
      <c r="H150" s="28"/>
      <c r="I150" s="100" t="s">
        <v>304</v>
      </c>
      <c r="J150" s="203">
        <f>+MAX(C147:F150)</f>
        <v>92.114335543665348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1796.3664674513407</v>
      </c>
      <c r="D160" s="201">
        <f t="shared" ref="D160:F160" si="95">+(D$56+D$57+  IF(   $H$25&gt;0,+D$55, -$H$25   )  )*D$42/2 + D156*(D$43-2/3*D154)</f>
        <v>1798.1664674513406</v>
      </c>
      <c r="E160" s="201">
        <f t="shared" si="95"/>
        <v>1800.4164674513406</v>
      </c>
      <c r="F160" s="201">
        <f t="shared" si="95"/>
        <v>1805.3664674513407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1748.7531640205639</v>
      </c>
      <c r="D161" s="201">
        <f t="shared" ref="D161:F161" si="96">+(D$56+D$57+   IF(   $H$25&gt;0, +D$55, -$H$25   )    )*D$42/2+D157*(D$43-2/3*D155)</f>
        <v>1750.5531640205641</v>
      </c>
      <c r="E161" s="201">
        <f t="shared" si="96"/>
        <v>1752.8031640205641</v>
      </c>
      <c r="F161" s="201">
        <f t="shared" si="96"/>
        <v>1757.7531640205639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6.0053359794360377</v>
      </c>
      <c r="D162" s="201">
        <f t="shared" ref="D162:F162" si="97">+D165*D164</f>
        <v>7.4733359794360661</v>
      </c>
      <c r="E162" s="201">
        <f t="shared" si="97"/>
        <v>9.308335979436146</v>
      </c>
      <c r="F162" s="201">
        <f t="shared" si="97"/>
        <v>13.345335979436159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50.768932548659429</v>
      </c>
      <c r="D163" s="201">
        <f t="shared" ref="D163:F163" si="98">+D166*D164</f>
        <v>57.835532548659479</v>
      </c>
      <c r="E163" s="201">
        <f t="shared" si="98"/>
        <v>66.66878254865955</v>
      </c>
      <c r="F163" s="201">
        <f t="shared" si="98"/>
        <v>86.101932548659533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1153.691</v>
      </c>
      <c r="D164" s="202">
        <f t="shared" ref="D164:F164" si="99">+D$56+D$57+  IF(   $H$25&gt;0, -$H$25+D$55, -$H$25   )</f>
        <v>1154.8910000000001</v>
      </c>
      <c r="E164" s="202">
        <f t="shared" si="99"/>
        <v>1156.3910000000001</v>
      </c>
      <c r="F164" s="202">
        <f t="shared" si="99"/>
        <v>1159.691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5.2053244581400371E-3</v>
      </c>
      <c r="D165" s="202">
        <f t="shared" ref="D165:F165" si="100">+ABS(D$42/2-(D161-D159)/D164)</f>
        <v>6.4710314475011632E-3</v>
      </c>
      <c r="E165" s="202">
        <f t="shared" si="100"/>
        <v>8.04947113859944E-3</v>
      </c>
      <c r="F165" s="202">
        <f t="shared" si="100"/>
        <v>1.1507665386241817E-2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4.4005658836429706E-2</v>
      </c>
      <c r="D166" s="202">
        <f t="shared" ref="D166:F166" si="101">+ABS(D$42/2-(D160-D158)/D164)</f>
        <v>5.007878020407075E-2</v>
      </c>
      <c r="E166" s="202">
        <f t="shared" si="101"/>
        <v>5.7652457126231127E-2</v>
      </c>
      <c r="F166" s="202">
        <f t="shared" si="101"/>
        <v>7.4245581408029837E-2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140.80439300624343</v>
      </c>
      <c r="D169" s="17">
        <f t="shared" ref="D169:F169" si="103">+(D164/D$42^2)*(1+6*D165/D$42+6*D166/D$42)</f>
        <v>142.83430411735455</v>
      </c>
      <c r="E169" s="17">
        <f t="shared" si="103"/>
        <v>145.3716930062435</v>
      </c>
      <c r="F169" s="17">
        <f t="shared" si="103"/>
        <v>150.95394856179902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118.24042298461703</v>
      </c>
      <c r="D170" s="5">
        <f t="shared" ref="D170:F170" si="104">+(D164/D$42^2)*(1+6*D165/D$42-6*D166/D$42)</f>
        <v>117.12962298461701</v>
      </c>
      <c r="E170" s="5">
        <f t="shared" si="104"/>
        <v>115.74112298461704</v>
      </c>
      <c r="F170" s="5">
        <f t="shared" si="104"/>
        <v>112.68642298461702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138.13535479316076</v>
      </c>
      <c r="D171" s="5">
        <f t="shared" ref="D171:F171" si="105">+(D164/D$42^2)*(1-6*D165/D$42+6*D166/D$42)</f>
        <v>139.51282145982742</v>
      </c>
      <c r="E171" s="5">
        <f t="shared" si="105"/>
        <v>141.23465479316076</v>
      </c>
      <c r="F171" s="5">
        <f t="shared" si="105"/>
        <v>145.02268812649407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115.57138477153434</v>
      </c>
      <c r="D172" s="5">
        <f t="shared" ref="D172:F172" si="106">+(D164/D$42^2)*(1-6*D165/D$42-6*D166/D$42)</f>
        <v>113.80814032708987</v>
      </c>
      <c r="E172" s="5">
        <f t="shared" si="106"/>
        <v>111.6040847715343</v>
      </c>
      <c r="F172" s="5">
        <f t="shared" si="106"/>
        <v>106.75516254931206</v>
      </c>
      <c r="G172" s="18" t="s">
        <v>13</v>
      </c>
      <c r="H172" s="28"/>
      <c r="I172" s="100" t="s">
        <v>304</v>
      </c>
      <c r="J172" s="203">
        <f>+MAX(C169:F172)</f>
        <v>150.95394856179902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150.95394856179902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2326.745525095901</v>
      </c>
      <c r="D184" s="201">
        <f t="shared" ref="D184:F184" si="115">+(D$56+D$57+  IF(   INDEX($F$30:$H$33,D$177,       3)&gt;0,+D$55, -INDEX($F$30:$H$33,D$177,       3)   )  )*D$42/2 + D180*(D$43-2/3*D178)</f>
        <v>2328.5455250959012</v>
      </c>
      <c r="E184" s="201">
        <f t="shared" si="115"/>
        <v>2330.7955250959012</v>
      </c>
      <c r="F184" s="201">
        <f t="shared" si="115"/>
        <v>2335.745525095901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2267.5850756475097</v>
      </c>
      <c r="D185" s="201">
        <f t="shared" ref="D185:F185" si="116">+(D$56+D$57+   IF(   INDEX($F$30:$H$33,D$177,       3)&gt;0, +D$55, -INDEX($F$30:$H$33,D$177,       3)   )    )*D$42/2+D181*(D$43-2/3*D179)</f>
        <v>2269.3850756475099</v>
      </c>
      <c r="E185" s="201">
        <f t="shared" si="116"/>
        <v>2271.6350756475099</v>
      </c>
      <c r="F185" s="201">
        <f t="shared" si="116"/>
        <v>2276.5850756475097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10.290174352490263</v>
      </c>
      <c r="D186" s="201">
        <f t="shared" ref="D186:F186" si="117">+D189*D188</f>
        <v>12.492174352489949</v>
      </c>
      <c r="E186" s="201">
        <f t="shared" si="117"/>
        <v>15.244674352489948</v>
      </c>
      <c r="F186" s="201">
        <f t="shared" si="117"/>
        <v>21.300174352490206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89.695074904098988</v>
      </c>
      <c r="D187" s="201">
        <f t="shared" ref="D187:F187" si="118">+D190*D188</f>
        <v>100.29497490409881</v>
      </c>
      <c r="E187" s="201">
        <f t="shared" si="118"/>
        <v>113.54484990409885</v>
      </c>
      <c r="F187" s="201">
        <f t="shared" si="118"/>
        <v>142.69457490409866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1494.3615</v>
      </c>
      <c r="D188" s="202">
        <f t="shared" ref="D188:F188" si="119">+D$56+D$57+  IF(   INDEX($F$30:$H$33,D$177,       3)&gt;0, -INDEX($F$30:$H$33,D$177,       3)+D$55, -INDEX($F$30:$H$33,D$177,       3)   )</f>
        <v>1495.5615</v>
      </c>
      <c r="E188" s="202">
        <f t="shared" si="119"/>
        <v>1497.0615</v>
      </c>
      <c r="F188" s="202">
        <f t="shared" si="119"/>
        <v>1500.3615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6.8860007116686717E-3</v>
      </c>
      <c r="D189" s="202">
        <f t="shared" ref="D189:F189" si="120">+ABS(D$42/2-(D185-D183)/D188)</f>
        <v>8.3528322656674092E-3</v>
      </c>
      <c r="E189" s="202">
        <f t="shared" si="120"/>
        <v>1.0183064859052182E-2</v>
      </c>
      <c r="F189" s="202">
        <f t="shared" si="120"/>
        <v>1.419669483153907E-2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6.0022340580976552E-2</v>
      </c>
      <c r="D190" s="202">
        <f t="shared" ref="D190:F190" si="121">+ABS(D$42/2-(D184-D182)/D188)</f>
        <v>6.7061752327870705E-2</v>
      </c>
      <c r="E190" s="202">
        <f t="shared" si="121"/>
        <v>7.584514724618785E-2</v>
      </c>
      <c r="F190" s="202">
        <f t="shared" si="121"/>
        <v>9.5106795864928984E-2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188.25911094590873</v>
      </c>
      <c r="D193" s="17">
        <f t="shared" ref="D193:F193" si="123">+(D188/D$42^2)*(1+6*D189/D$42+6*D190/D$42)</f>
        <v>191.2373109459086</v>
      </c>
      <c r="E193" s="17">
        <f t="shared" si="123"/>
        <v>194.96006094590862</v>
      </c>
      <c r="F193" s="17">
        <f t="shared" si="123"/>
        <v>203.15011094590861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59.855911339471795</v>
      </c>
      <c r="L193" s="32">
        <f>+$R$193*(J194*(J195-J193)/(J193*(J195-J194)+J195*J194))</f>
        <v>193.28895313071789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345.0363339913506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148.39463321075363</v>
      </c>
      <c r="D194" s="5">
        <f t="shared" ref="D194:F194" si="124">+(D188/D$42^2)*(1+6*D189/D$42-6*D190/D$42)</f>
        <v>146.6617665440869</v>
      </c>
      <c r="E194" s="5">
        <f t="shared" si="124"/>
        <v>144.49568321075358</v>
      </c>
      <c r="F194" s="5">
        <f t="shared" si="124"/>
        <v>139.73029987742035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183.6857001225797</v>
      </c>
      <c r="D195" s="5">
        <f t="shared" ref="D195:F195" si="125">+(D188/D$42^2)*(1-6*D189/D$42+6*D190/D$42)</f>
        <v>185.68523345591308</v>
      </c>
      <c r="E195" s="5">
        <f t="shared" si="125"/>
        <v>188.18465012257977</v>
      </c>
      <c r="F195" s="5">
        <f t="shared" si="125"/>
        <v>193.68336678924629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143.8212223874246</v>
      </c>
      <c r="D196" s="5">
        <f t="shared" ref="D196:F196" si="126">+(D188/D$42^2)*(1-6*D189/D$42-6*D190/D$42)</f>
        <v>141.10968905409138</v>
      </c>
      <c r="E196" s="5">
        <f t="shared" si="126"/>
        <v>137.72027238742473</v>
      </c>
      <c r="F196" s="5">
        <f t="shared" si="126"/>
        <v>130.26355572075803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117.44016666666667</v>
      </c>
      <c r="D197" s="5">
        <f t="shared" ref="D197:F197" si="127">AVERAGE(D196,D193)-$C$14*D$43</f>
        <v>117.5735</v>
      </c>
      <c r="E197" s="5">
        <f t="shared" si="127"/>
        <v>117.74016666666668</v>
      </c>
      <c r="F197" s="5">
        <f t="shared" si="127"/>
        <v>118.10683333333333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185.97240553424422</v>
      </c>
      <c r="D198" s="237">
        <f t="shared" ref="D198:F198" si="128">(D193+MAX(D194,D195))/2</f>
        <v>188.46127220091086</v>
      </c>
      <c r="E198" s="237">
        <f t="shared" si="128"/>
        <v>191.5723555342442</v>
      </c>
      <c r="F198" s="237">
        <f t="shared" si="128"/>
        <v>198.41673886757746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977.02878656250016</v>
      </c>
      <c r="D204" s="16">
        <f>D197*(D$42^2-(D$39+D$46)^2)</f>
        <v>978.13803656250002</v>
      </c>
      <c r="E204" s="16">
        <f>E197*(E$42^2-(E$39+E$46)^2)</f>
        <v>979.52459906250022</v>
      </c>
      <c r="F204" s="16">
        <f>F197*(F$42^2-(F$39+F$46)^2)</f>
        <v>982.57503656250003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1418.784140558387</v>
      </c>
      <c r="D205" s="16">
        <f>+D207*1000*D$203*D$46</f>
        <v>1418.784140558387</v>
      </c>
      <c r="E205" s="16">
        <f t="shared" ref="E205" si="130">+E207*1000*E$203*E$46</f>
        <v>1418.784140558387</v>
      </c>
      <c r="F205" s="16">
        <f t="shared" ref="F205" si="131">+F207*1000*F$203*F$46</f>
        <v>1418.784140558387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0.91098255157342667</v>
      </c>
      <c r="D206" s="16">
        <f>+(D197*(D42^2-(D$39+D$46)^2)/  ( D203  ) /D46)/1000</f>
        <v>0.91201681730769235</v>
      </c>
      <c r="E206" s="16">
        <f>+(E197*(E42^2-(E$39+E$46)^2)/  ( E203  ) /E46)/1000</f>
        <v>0.91330964947552473</v>
      </c>
      <c r="F206" s="16">
        <f>+(F197*(F42^2-(F$39+F$46)^2)/  ( F203  ) /F46)/1000</f>
        <v>0.91615388024475519</v>
      </c>
      <c r="G206" s="24" t="s">
        <v>32</v>
      </c>
      <c r="H206" s="28"/>
      <c r="I206" s="162" t="s">
        <v>324</v>
      </c>
      <c r="J206" s="203">
        <f>+MAX(C206:F206)</f>
        <v>0.91615388024475519</v>
      </c>
      <c r="K206" t="s">
        <v>308</v>
      </c>
      <c r="L206" s="203">
        <f>+MIN(C207:F207)</f>
        <v>1.3228756555322954</v>
      </c>
    </row>
    <row r="207" spans="1:19">
      <c r="A207" s="183"/>
      <c r="B207" s="1" t="s">
        <v>129</v>
      </c>
      <c r="C207" s="16">
        <f>+MIN(C208:C210)</f>
        <v>1.3228756555322954</v>
      </c>
      <c r="D207" s="16">
        <f>+MIN(D208:D210)</f>
        <v>1.3228756555322954</v>
      </c>
      <c r="E207" s="16">
        <f t="shared" ref="E207:F207" si="132">+MIN(E208:E210)</f>
        <v>1.3228756555322954</v>
      </c>
      <c r="F207" s="16">
        <f t="shared" si="132"/>
        <v>1.3228756555322954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1.3228756555322954</v>
      </c>
      <c r="D208" s="16">
        <f>0.75*SQRT($C$16)/3</f>
        <v>1.3228756555322954</v>
      </c>
      <c r="E208" s="16">
        <f t="shared" ref="E208:F208" si="133">0.75*SQRT($C$16)/3</f>
        <v>1.3228756555322954</v>
      </c>
      <c r="F208" s="16">
        <f t="shared" si="133"/>
        <v>1.3228756555322954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2.023999752964412</v>
      </c>
      <c r="D209" s="16">
        <f>0.75*0.17*(1+2/1)*SQRT($C$16)</f>
        <v>2.023999752964412</v>
      </c>
      <c r="E209" s="16">
        <f t="shared" ref="E209:F209" si="134">0.75*0.17*(1+2/1)*SQRT($C$16)</f>
        <v>2.023999752964412</v>
      </c>
      <c r="F209" s="16">
        <f t="shared" si="134"/>
        <v>2.023999752964412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1.9564128331090347</v>
      </c>
      <c r="D210" s="16">
        <f>0.75*SQRT($C$16)*0.083*(40*D$46/(D$203)+2)</f>
        <v>1.9564128331090347</v>
      </c>
      <c r="E210" s="16">
        <f t="shared" ref="E210:F210" si="135">0.75*SQRT($C$16)*0.083*(40*E$46/(E$203)+2)</f>
        <v>1.9564128331090347</v>
      </c>
      <c r="F210" s="16">
        <f t="shared" si="135"/>
        <v>1.9564128331090347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468.23242535752769</v>
      </c>
      <c r="D212" s="16">
        <f t="shared" ref="D212:F212" si="136">+(D$198*D$42-$C$12*D$40-$C$14*D$47)*(D$42/2-D$39/2-D$46)</f>
        <v>475.1390303575277</v>
      </c>
      <c r="E212" s="16">
        <f t="shared" si="136"/>
        <v>483.77228660752758</v>
      </c>
      <c r="F212" s="16">
        <f t="shared" si="136"/>
        <v>502.76545035752747</v>
      </c>
      <c r="G212" s="23" t="s">
        <v>41</v>
      </c>
      <c r="H212" s="28"/>
      <c r="I212" s="162" t="s">
        <v>323</v>
      </c>
      <c r="J212" s="203">
        <f>+MAX(C212:F212)</f>
        <v>502.76545035752747</v>
      </c>
      <c r="K212" t="s">
        <v>308</v>
      </c>
      <c r="L212" s="4">
        <f>+MIN(C213:F213)</f>
        <v>657.79991971343395</v>
      </c>
    </row>
    <row r="213" spans="1:13">
      <c r="A213" s="183"/>
      <c r="B213" s="1" t="s">
        <v>127</v>
      </c>
      <c r="C213" s="16">
        <f>+C215*1000*C$42*C$46</f>
        <v>657.79991971343395</v>
      </c>
      <c r="D213" s="16">
        <f t="shared" ref="D213:F213" si="137">+D215*1000*D$42*D$46</f>
        <v>657.79991971343395</v>
      </c>
      <c r="E213" s="16">
        <f t="shared" si="137"/>
        <v>657.79991971343395</v>
      </c>
      <c r="F213" s="16">
        <f t="shared" si="137"/>
        <v>657.79991971343395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0.48023838498207966</v>
      </c>
      <c r="D214" s="16">
        <f>+D$212/($C$42*$C$46)/1000</f>
        <v>0.48732208241797709</v>
      </c>
      <c r="E214" s="16">
        <f>+E$212/($C$42*$C$46)/1000</f>
        <v>0.49617670421284871</v>
      </c>
      <c r="F214" s="16">
        <f>+F$212/($C$42*$C$46)/1000</f>
        <v>0.51565687216156664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0.67466658432147064</v>
      </c>
      <c r="D215" s="16">
        <f t="shared" ref="D215:F215" si="138">+SQRT($C$16)*0.17*0.75</f>
        <v>0.67466658432147064</v>
      </c>
      <c r="E215" s="16">
        <f t="shared" si="138"/>
        <v>0.67466658432147064</v>
      </c>
      <c r="F215" s="16">
        <f t="shared" si="138"/>
        <v>0.67466658432147064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320.01354127947354</v>
      </c>
      <c r="D219" s="16">
        <f t="shared" ref="D219:E219" si="139">+(D193-D$40*$C$12-(D$47)*$C$14)*D$42  *((D$42-D$39)/2)^2/2</f>
        <v>326.99369752947331</v>
      </c>
      <c r="E219" s="16">
        <f t="shared" si="139"/>
        <v>335.71889284197334</v>
      </c>
      <c r="F219" s="16">
        <f>+(F193-F$40*$C$12-(F$47)*$C$14)*F$42  *((F$42-F$39)/2)^2/2</f>
        <v>354.91432252947328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2.7378448291645215E-3</v>
      </c>
      <c r="D220" s="249">
        <f>0.85*$C$16/$C$15*(1-SQRT((1-2*$C$15/0.85/$C$16*((D219/D$42/D$46^2)/1000)/0.9/$C$15)))</f>
        <v>2.7991135585479663E-3</v>
      </c>
      <c r="E220" s="249">
        <f>0.85*$C$16/$C$15*(1-SQRT((1-2*$C$15/0.85/$C$16*((E219/E$42/E$46^2)/1000)/0.9/$C$15)))</f>
        <v>2.8757976069492524E-3</v>
      </c>
      <c r="F220" s="249">
        <f>0.85*$C$16/$C$15*(1-SQRT((1-2*$C$15/0.85/$C$16*((F219/F$42/F$46^2)/1000)/0.9/$C$15)))</f>
        <v>3.044888533563416E-3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32.854137949974259</v>
      </c>
      <c r="D222" s="16">
        <f>+IF(D221&gt;D220,D$42*D$40*100*100*D221,D$42*D40*100*100*D220)</f>
        <v>33.589362702575599</v>
      </c>
      <c r="E222" s="16">
        <f>+IF(E221&gt;E220,E$42*E$40*100*100*E221,E$42*E40*100*100*E220)</f>
        <v>34.509571283391033</v>
      </c>
      <c r="F222" s="16">
        <f>+IF(F221&gt;F220,F$42*F$40*100*100*F221,F$42*F40*100*100*F220)</f>
        <v>36.538662402760998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210.69296874999998</v>
      </c>
      <c r="D228" s="16">
        <f t="shared" ref="D228:F228" si="141">+(($H$31-D$57)/(D42)*   ((D42-D39)/2)^2)/2</f>
        <v>210.38046874999998</v>
      </c>
      <c r="E228" s="16">
        <f t="shared" si="141"/>
        <v>209.98984374999998</v>
      </c>
      <c r="F228" s="16">
        <f t="shared" si="141"/>
        <v>209.13046874999998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1.7872010548648069E-3</v>
      </c>
      <c r="D229" s="249">
        <f>0.85*$C$16/$C$15*(1-SQRT((1-2*$C$15/0.85/$C$16*((D228/D$42/D$46^2)/1000)/0.9/$C$15)))</f>
        <v>1.7845071802423866E-3</v>
      </c>
      <c r="E229" s="249">
        <f>0.85*$C$16/$C$15*(1-SQRT((1-2*$C$15/0.85/$C$16*((E228/E$42/E$46^2)/1000)/0.9/$C$15)))</f>
        <v>1.7811400228986383E-3</v>
      </c>
      <c r="F229" s="249">
        <f>0.85*$C$16/$C$15*(1-SQRT((1-2*$C$15/0.85/$C$16*((F228/F$42/F$46^2)/1000)/0.9/$C$15)))</f>
        <v>1.7737330037735719E-3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21.6</v>
      </c>
      <c r="D231" s="16">
        <f>+IF(D230&gt;D229,D$42*D$40*100*100*D230,D$42*D40*100*100*D229)</f>
        <v>21.6</v>
      </c>
      <c r="E231" s="16">
        <f>+IF(E230&gt;E229,E$42*E$40*100*100*E230,E$42*E40*100*100*E229)</f>
        <v>21.6</v>
      </c>
      <c r="F231" s="16">
        <f>+IF(F230&gt;F229,F$42*F$40*100*100*F230,F$42*F40*100*100*F229)</f>
        <v>21.6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79" t="s">
        <v>150</v>
      </c>
      <c r="L237" s="379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60" t="s">
        <v>162</v>
      </c>
      <c r="C259" s="361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28</v>
      </c>
      <c r="D265" s="1">
        <f>+$C$16</f>
        <v>28</v>
      </c>
      <c r="E265" s="1">
        <f>+$C$16</f>
        <v>28</v>
      </c>
      <c r="F265" s="1">
        <f>+$C$16</f>
        <v>28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24870062.324007154</v>
      </c>
      <c r="D267" s="3">
        <f>4700*SQRT(D265)*1000</f>
        <v>24870062.324007154</v>
      </c>
      <c r="E267" s="3">
        <f>4700*SQRT(E265)*1000</f>
        <v>24870062.324007154</v>
      </c>
      <c r="F267" s="3">
        <f>4700*SQRT(F265)*1000</f>
        <v>24870062.324007154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32382.893651050981</v>
      </c>
      <c r="D276" s="3">
        <f>0.4*D$267*D$268/(1+D$275)</f>
        <v>32382.893651050981</v>
      </c>
      <c r="E276" s="3">
        <f>0.4*E$267*E$268/(1+E$275)</f>
        <v>32382.893651050981</v>
      </c>
      <c r="F276" s="3">
        <f>0.4*F$267*F$268/(1+F$275)</f>
        <v>32382.893651050981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60" t="s">
        <v>179</v>
      </c>
      <c r="C278" s="361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8617.4905076944196</v>
      </c>
      <c r="D280" s="3">
        <f>PI()^2*D276/(D272*D264)^2</f>
        <v>7541.4250957034392</v>
      </c>
      <c r="E280" s="3">
        <f>PI()^2*E276/(E272*E264)^2</f>
        <v>6457.8387319857484</v>
      </c>
      <c r="F280" s="3">
        <f>PI()^2*F276/(F272*F264)^2</f>
        <v>4764.8320295667345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1.2074146618768036</v>
      </c>
      <c r="D282" s="16">
        <f t="shared" ref="D282:F282" si="158">+IF(D240&lt;0,D$279/(1-ABS(D240)/(0.75*D$280)),"No Aplica")</f>
        <v>1.244566977743145</v>
      </c>
      <c r="E282" s="16">
        <f t="shared" si="158"/>
        <v>1.2983475271093374</v>
      </c>
      <c r="F282" s="16">
        <f t="shared" si="158"/>
        <v>1.4542515655712844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1.0319108992907695</v>
      </c>
      <c r="D284" s="16">
        <f t="shared" ref="D284:F284" si="160">+IF(D250&lt;0,D$279/(1-ABS(D250)/(0.75*D$280)),"No Aplica")</f>
        <v>1.0368590093477679</v>
      </c>
      <c r="E284" s="16">
        <f t="shared" si="160"/>
        <v>1.0436488171063292</v>
      </c>
      <c r="F284" s="16">
        <f t="shared" si="160"/>
        <v>1.0611285011109683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1.1916422879536999</v>
      </c>
      <c r="D285" s="16">
        <f t="shared" ref="D285:F285" si="161">+IF(D255&lt;0,D$279/(1-ABS(D255)/(0.75*D$280)),"No Aplica")</f>
        <v>1.225462273281128</v>
      </c>
      <c r="E285" s="16">
        <f t="shared" si="161"/>
        <v>1.2741484219591643</v>
      </c>
      <c r="F285" s="16">
        <f t="shared" si="161"/>
        <v>1.4134982683736654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135.93758154286772</v>
      </c>
      <c r="D289" s="5">
        <f t="shared" ref="D289:F289" si="162">+IF(D240&lt;0,D$282*D$242,D242)</f>
        <v>149.78387553845872</v>
      </c>
      <c r="E289" s="5">
        <f t="shared" si="162"/>
        <v>168.85769558132722</v>
      </c>
      <c r="F289" s="5">
        <f t="shared" si="162"/>
        <v>220.18576732584847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163.68638812374709</v>
      </c>
      <c r="D293" s="5">
        <f t="shared" ref="D293:F293" si="164">+IF(D250&lt;0,D$284*D$252,D252)</f>
        <v>175.81412667010071</v>
      </c>
      <c r="E293" s="5">
        <f t="shared" si="164"/>
        <v>191.23684074294727</v>
      </c>
      <c r="F293" s="5">
        <f t="shared" si="164"/>
        <v>226.36274655691543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187.06394910030201</v>
      </c>
      <c r="D295" s="5">
        <f t="shared" ref="D295:F295" si="165">+IF(D255&lt;0,D$285*D257,D257)</f>
        <v>205.64011282506024</v>
      </c>
      <c r="E295" s="5">
        <f t="shared" si="165"/>
        <v>231.0526860253151</v>
      </c>
      <c r="F295" s="5">
        <f t="shared" si="165"/>
        <v>298.40499033036451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9.7463539981322302</v>
      </c>
      <c r="D298" s="7">
        <f>+D$241*D$264^3/(3*D$276)*1000</f>
        <v>11.905106070702255</v>
      </c>
      <c r="E298" s="7">
        <f>+E$241*E$264^3/(3*E$276)*1000</f>
        <v>15.023897389910639</v>
      </c>
      <c r="F298" s="7">
        <f>+F$241*F$264^3/(3*F$276)*1000</f>
        <v>23.705111846127597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6.6135930250226034</v>
      </c>
      <c r="D299" s="7">
        <f>+D$246*D$264^3/(3*D$276)*1000</f>
        <v>8.0784595435831061</v>
      </c>
      <c r="E299" s="7">
        <f>+E$246*E$264^3/(3*E$276)*1000</f>
        <v>10.194780838620245</v>
      </c>
      <c r="F299" s="7">
        <f>+F$246*F$264^3/(3*F$276)*1000</f>
        <v>16.085601076358849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13.73186273857973</v>
      </c>
      <c r="D300" s="7">
        <f>+D$251*D$264^3/(3*D$276)*1000</f>
        <v>16.773378278938406</v>
      </c>
      <c r="E300" s="7">
        <f>+E$251*E$264^3/(3*E$276)*1000</f>
        <v>21.167515236599776</v>
      </c>
      <c r="F300" s="7">
        <f>+F$251*F$264^3/(3*F$276)*1000</f>
        <v>33.398678329977088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13.589493783308059</v>
      </c>
      <c r="D301" s="7">
        <f>+D$256*D$264^3/(3*D$276)*1000</f>
        <v>16.599475554493029</v>
      </c>
      <c r="E301" s="7">
        <f>+E$256*E$264^3/(3*E$276)*1000</f>
        <v>20.948055059397078</v>
      </c>
      <c r="F301" s="7">
        <f>+F$256*F$264^3/(3*F$276)*1000</f>
        <v>33.052408123828414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10.820996736320289</v>
      </c>
      <c r="D304" s="16">
        <f t="shared" ref="D304:E304" si="166">+IF(D240&lt;0,-D$240*D$298/1000,"Noaplica")</f>
        <v>13.232061098448796</v>
      </c>
      <c r="E304" s="16">
        <f t="shared" si="166"/>
        <v>16.721011862972333</v>
      </c>
      <c r="F304" s="16">
        <f>+IF(F240&lt;0,-F$240*F$298/1000,"Noaplica")</f>
        <v>26.461091854470236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2.7445324781089768</v>
      </c>
      <c r="D306" s="16">
        <f t="shared" ref="D306:F306" si="168">+IF(D250&lt;0,-D$250*D$300/1000,"No aplica")</f>
        <v>3.3725560770330292</v>
      </c>
      <c r="E306" s="16">
        <f t="shared" si="168"/>
        <v>4.2878188914170705</v>
      </c>
      <c r="F306" s="16">
        <f t="shared" si="168"/>
        <v>6.8756523130790637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14.125076117548907</v>
      </c>
      <c r="D307" s="16">
        <f t="shared" ref="D307:F307" si="169">+IF(D255&lt;0,-D$255*D$301/1000,"No aplica")</f>
        <v>17.27360515597432</v>
      </c>
      <c r="E307" s="16">
        <f t="shared" si="169"/>
        <v>21.830209080030876</v>
      </c>
      <c r="F307" s="16">
        <f t="shared" si="169"/>
        <v>34.553367555343655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146.75857827918801</v>
      </c>
      <c r="D310" s="5">
        <f t="shared" ref="D310:E310" si="170">+IF(D$274&lt;&gt;"OK",      IF(D240&lt;0,D289+D304,D242),D242)</f>
        <v>163.0159366369075</v>
      </c>
      <c r="E310" s="5">
        <f t="shared" si="170"/>
        <v>185.57870744429954</v>
      </c>
      <c r="F310" s="5">
        <f>+IF(F$274&lt;&gt;"OK",      IF(F240&lt;0,F289+F304,F242),F242)</f>
        <v>246.6468591803187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166.43092060185606</v>
      </c>
      <c r="D312" s="5">
        <f t="shared" ref="D312:F312" si="172">+IF(D$274&lt;&gt;"OK",      IF(D250&lt;0,D293+D306,D252), D252)</f>
        <v>179.18668274713374</v>
      </c>
      <c r="E312" s="5">
        <f t="shared" si="172"/>
        <v>195.52465963436433</v>
      </c>
      <c r="F312" s="5">
        <f t="shared" si="172"/>
        <v>233.23839886999448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201.18902521785091</v>
      </c>
      <c r="D313" s="5">
        <f t="shared" ref="D313:F313" si="173">+IF(D$274&lt;&gt;"OK",      IF(D255&lt;0,D295+D307,D257), D257)</f>
        <v>222.91371798103455</v>
      </c>
      <c r="E313" s="5">
        <f t="shared" si="173"/>
        <v>252.88289510534597</v>
      </c>
      <c r="F313" s="5">
        <f t="shared" si="173"/>
        <v>332.95835788570815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55.055140346072463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58.192936960336517</v>
      </c>
      <c r="E326" s="220">
        <f t="shared" si="174"/>
        <v>62.64920810829846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75.396080792651645</v>
      </c>
      <c r="G326" s="123" t="s">
        <v>143</v>
      </c>
      <c r="H326" s="28"/>
      <c r="I326" s="220">
        <f>+IFERROR(SQRT((1-2*$C$15/0.85/$C$16*((MAX(C310:F310)/0.9/F$39/(F$39*0.8-F$45)^2)/1000)/$C$15)),
"Aumentar D")</f>
        <v>0.75095728593518174</v>
      </c>
    </row>
    <row r="327" spans="1:39" ht="17.25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0.39541581281970789</v>
      </c>
      <c r="J327" s="203"/>
    </row>
    <row r="328" spans="1:39" ht="17.25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34.737041779519785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37.260774348823261</v>
      </c>
      <c r="E328" s="220">
        <f t="shared" si="176"/>
        <v>40.553147551790531</v>
      </c>
      <c r="F328" s="220">
        <f t="shared" si="176"/>
        <v>48.434656690634284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63.836330035032759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68.341961093391731</v>
      </c>
      <c r="E329" s="220">
        <f t="shared" si="177"/>
        <v>74.793038074476911</v>
      </c>
      <c r="F329" s="220">
        <f t="shared" si="177"/>
        <v>93.706146516853536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63.836330035032759</v>
      </c>
      <c r="D331" s="220">
        <f t="shared" ref="D331:F331" si="179">+MAX(D326:D330)</f>
        <v>68.341961093391731</v>
      </c>
      <c r="E331" s="220">
        <f t="shared" si="179"/>
        <v>74.793038074476911</v>
      </c>
      <c r="F331" s="220">
        <f t="shared" si="179"/>
        <v>93.706146516853536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>
        <f>IF($G$336*VLOOKUP(F335,$K$238:$L$243,2,FALSE)&lt;F331,"verificar",($G$336*VLOOKUP(F335,$K$238:$L$243,2,FALSE)))</f>
        <v>102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20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5.4977871437821381E-2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>
        <f>+F334/F332</f>
        <v>4.0800000000000003E-2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134.93331686429414</v>
      </c>
      <c r="D345" s="5">
        <f>0.75*1/6*SQRT(D$265)*0.8*D$263*D$263*1000</f>
        <v>132.28756555322954</v>
      </c>
      <c r="E345" s="5">
        <f>0.75*1/6*SQRT(E$265)*0.8*E$263*E$263*1000</f>
        <v>132.28756555322954</v>
      </c>
      <c r="F345" s="5">
        <f>0.75*1/6*SQRT(F$265)*0.8*F$263*F$263*1000</f>
        <v>132.28756555322954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239.47971686429418</v>
      </c>
      <c r="D347" s="7">
        <f>+D345+D346</f>
        <v>236.83396555322958</v>
      </c>
      <c r="E347" s="7">
        <f>+E345+E346</f>
        <v>236.83396555322958</v>
      </c>
      <c r="F347" s="7">
        <f>+F345+F346</f>
        <v>236.83396555322958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236.83396555322958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80" t="s">
        <v>246</v>
      </c>
      <c r="B350" s="383"/>
      <c r="C350" s="384"/>
      <c r="D350" s="384"/>
      <c r="E350" s="384"/>
      <c r="F350" s="384"/>
      <c r="G350" s="385"/>
      <c r="H350" s="28"/>
    </row>
    <row r="351" spans="1:15">
      <c r="A351" s="381"/>
      <c r="B351" s="386"/>
      <c r="C351" s="372"/>
      <c r="D351" s="372"/>
      <c r="E351" s="372"/>
      <c r="F351" s="372"/>
      <c r="G351" s="387"/>
      <c r="H351" s="28"/>
    </row>
    <row r="352" spans="1:15">
      <c r="A352" s="381"/>
      <c r="B352" s="386"/>
      <c r="C352" s="372"/>
      <c r="D352" s="372"/>
      <c r="E352" s="372"/>
      <c r="F352" s="372"/>
      <c r="G352" s="387"/>
      <c r="H352" s="28"/>
    </row>
    <row r="353" spans="1:8">
      <c r="A353" s="381"/>
      <c r="B353" s="386"/>
      <c r="C353" s="372"/>
      <c r="D353" s="372"/>
      <c r="E353" s="372"/>
      <c r="F353" s="372"/>
      <c r="G353" s="387"/>
      <c r="H353" s="28"/>
    </row>
    <row r="354" spans="1:8">
      <c r="A354" s="381"/>
      <c r="B354" s="386"/>
      <c r="C354" s="372"/>
      <c r="D354" s="372"/>
      <c r="E354" s="372"/>
      <c r="F354" s="372"/>
      <c r="G354" s="387"/>
      <c r="H354" s="28"/>
    </row>
    <row r="355" spans="1:8">
      <c r="A355" s="381"/>
      <c r="B355" s="386"/>
      <c r="C355" s="372"/>
      <c r="D355" s="372"/>
      <c r="E355" s="372"/>
      <c r="F355" s="372"/>
      <c r="G355" s="387"/>
      <c r="H355" s="28"/>
    </row>
    <row r="356" spans="1:8">
      <c r="A356" s="381"/>
      <c r="B356" s="386"/>
      <c r="C356" s="372"/>
      <c r="D356" s="372"/>
      <c r="E356" s="372"/>
      <c r="F356" s="372"/>
      <c r="G356" s="387"/>
      <c r="H356" s="28"/>
    </row>
    <row r="357" spans="1:8">
      <c r="A357" s="381"/>
      <c r="B357" s="386"/>
      <c r="C357" s="372"/>
      <c r="D357" s="372"/>
      <c r="E357" s="372"/>
      <c r="F357" s="372"/>
      <c r="G357" s="387"/>
      <c r="H357" s="28"/>
    </row>
    <row r="358" spans="1:8">
      <c r="A358" s="381"/>
      <c r="B358" s="386"/>
      <c r="C358" s="372"/>
      <c r="D358" s="372"/>
      <c r="E358" s="372"/>
      <c r="F358" s="372"/>
      <c r="G358" s="387"/>
      <c r="H358" s="28"/>
    </row>
    <row r="359" spans="1:8">
      <c r="A359" s="381"/>
      <c r="B359" s="386"/>
      <c r="C359" s="372"/>
      <c r="D359" s="372"/>
      <c r="E359" s="372"/>
      <c r="F359" s="372"/>
      <c r="G359" s="387"/>
      <c r="H359" s="28"/>
    </row>
    <row r="360" spans="1:8">
      <c r="A360" s="381"/>
      <c r="B360" s="386"/>
      <c r="C360" s="372"/>
      <c r="D360" s="372"/>
      <c r="E360" s="372"/>
      <c r="F360" s="372"/>
      <c r="G360" s="387"/>
      <c r="H360" s="28"/>
    </row>
    <row r="361" spans="1:8">
      <c r="A361" s="381"/>
      <c r="B361" s="386"/>
      <c r="C361" s="372"/>
      <c r="D361" s="372"/>
      <c r="E361" s="372"/>
      <c r="F361" s="372"/>
      <c r="G361" s="387"/>
      <c r="H361" s="28"/>
    </row>
    <row r="362" spans="1:8">
      <c r="A362" s="381"/>
      <c r="B362" s="386"/>
      <c r="C362" s="372"/>
      <c r="D362" s="372"/>
      <c r="E362" s="372"/>
      <c r="F362" s="372"/>
      <c r="G362" s="387"/>
      <c r="H362" s="28"/>
    </row>
    <row r="363" spans="1:8">
      <c r="A363" s="381"/>
      <c r="B363" s="386"/>
      <c r="C363" s="372"/>
      <c r="D363" s="372"/>
      <c r="E363" s="372"/>
      <c r="F363" s="372"/>
      <c r="G363" s="387"/>
      <c r="H363" s="28"/>
    </row>
    <row r="364" spans="1:8">
      <c r="A364" s="381"/>
      <c r="B364" s="386"/>
      <c r="C364" s="372"/>
      <c r="D364" s="372"/>
      <c r="E364" s="372"/>
      <c r="F364" s="372"/>
      <c r="G364" s="387"/>
      <c r="H364" s="28"/>
    </row>
    <row r="365" spans="1:8">
      <c r="A365" s="381"/>
      <c r="B365" s="386"/>
      <c r="C365" s="372"/>
      <c r="D365" s="372"/>
      <c r="E365" s="372"/>
      <c r="F365" s="372"/>
      <c r="G365" s="387"/>
      <c r="H365" s="28"/>
    </row>
    <row r="366" spans="1:8">
      <c r="A366" s="381"/>
      <c r="B366" s="386"/>
      <c r="C366" s="372"/>
      <c r="D366" s="372"/>
      <c r="E366" s="372"/>
      <c r="F366" s="372"/>
      <c r="G366" s="387"/>
      <c r="H366" s="28"/>
    </row>
    <row r="367" spans="1:8">
      <c r="A367" s="381"/>
      <c r="B367" s="386"/>
      <c r="C367" s="372"/>
      <c r="D367" s="372"/>
      <c r="E367" s="372"/>
      <c r="F367" s="372"/>
      <c r="G367" s="387"/>
      <c r="H367" s="28"/>
    </row>
    <row r="368" spans="1:8">
      <c r="A368" s="381"/>
      <c r="B368" s="386"/>
      <c r="C368" s="372"/>
      <c r="D368" s="372"/>
      <c r="E368" s="372"/>
      <c r="F368" s="372"/>
      <c r="G368" s="387"/>
      <c r="H368" s="28"/>
    </row>
    <row r="369" spans="1:18" ht="121.15" customHeight="1" thickBot="1">
      <c r="A369" s="382"/>
      <c r="B369" s="388"/>
      <c r="C369" s="389"/>
      <c r="D369" s="389"/>
      <c r="E369" s="389"/>
      <c r="F369" s="389"/>
      <c r="G369" s="390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391" t="s">
        <v>247</v>
      </c>
      <c r="P373" s="392"/>
      <c r="Q373" s="392"/>
      <c r="R373" s="393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91" t="str">
        <f>"DIAGRAMA PEDESTAL "&amp;C38</f>
        <v>DIAGRAMA PEDESTAL 0.3</v>
      </c>
      <c r="K375" s="393"/>
      <c r="L375" s="309" t="s">
        <v>251</v>
      </c>
      <c r="M375" s="310"/>
      <c r="N375" s="111"/>
      <c r="O375" s="391" t="str">
        <f>"DIAGRAMA PEDESTAL " &amp;D38</f>
        <v>DIAGRAMA PEDESTAL 0.5</v>
      </c>
      <c r="P375" s="393"/>
      <c r="Q375" s="391" t="s">
        <v>251</v>
      </c>
      <c r="R375" s="393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>
        <f>+F334</f>
        <v>102</v>
      </c>
      <c r="G377" s="118" t="s">
        <v>257</v>
      </c>
      <c r="J377" s="113">
        <v>0</v>
      </c>
      <c r="K377" s="114">
        <f>+C388</f>
        <v>6637.3440000000001</v>
      </c>
      <c r="L377" s="115">
        <f>+C310</f>
        <v>146.75857827918801</v>
      </c>
      <c r="M377" s="115">
        <f>+C322</f>
        <v>-1110.261</v>
      </c>
      <c r="N377" s="111"/>
      <c r="O377" s="113">
        <v>0</v>
      </c>
      <c r="P377" s="114">
        <f>+D388</f>
        <v>6637.3440000000001</v>
      </c>
      <c r="Q377" s="115">
        <f>+D310</f>
        <v>163.0159366369075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>
        <f>+F377/2</f>
        <v>51</v>
      </c>
      <c r="G378" s="118" t="s">
        <v>257</v>
      </c>
      <c r="J378" s="116">
        <f>+C385</f>
        <v>527.38774629776628</v>
      </c>
      <c r="K378" s="116">
        <f>+C384</f>
        <v>1403.5169552264042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527.38774629776628</v>
      </c>
      <c r="P378" s="114">
        <f>+D384</f>
        <v>1403.5169552264042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487.73340000000007</v>
      </c>
      <c r="K379" s="118">
        <v>0</v>
      </c>
      <c r="L379" s="115">
        <f>+C313</f>
        <v>201.18902521785091</v>
      </c>
      <c r="M379" s="115">
        <f>+C325</f>
        <v>-1039.4115000000002</v>
      </c>
      <c r="N379" s="111"/>
      <c r="O379" s="117">
        <f>+D390</f>
        <v>487.73340000000007</v>
      </c>
      <c r="P379" s="114">
        <v>0</v>
      </c>
      <c r="Q379" s="115">
        <f>+D313</f>
        <v>222.91371798103455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166.43092060185606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179.18668274713374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91" t="str">
        <f xml:space="preserve"> "DIAGRAMA PEDESTAL " &amp;E38</f>
        <v>DIAGRAMA PEDESTAL 0.75</v>
      </c>
      <c r="K382" s="393"/>
      <c r="L382" s="309" t="s">
        <v>251</v>
      </c>
      <c r="M382" s="310"/>
      <c r="N382" s="111"/>
      <c r="O382" s="391" t="str">
        <f>"DIAGRAMA PEDESTAL " &amp;F38</f>
        <v>DIAGRAMA PEDESTAL 1.3</v>
      </c>
      <c r="P382" s="393"/>
      <c r="Q382" s="391" t="s">
        <v>251</v>
      </c>
      <c r="R382" s="393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1403.5169552264042</v>
      </c>
      <c r="D384" s="116">
        <f>0.65*(0.85*D265*10*D376*D382+D378*D383-D378*D266*10)/100</f>
        <v>1403.5169552264042</v>
      </c>
      <c r="E384" s="116">
        <f>0.65*(0.85*E265*10*E376*E382+E378*E383-E378*E266*10)/100</f>
        <v>1403.5169552264042</v>
      </c>
      <c r="F384" s="116">
        <f>0.65*(0.85*F265*10*F376*F382+F378*F383-F378*F266*10)/100</f>
        <v>1403.5169552264042</v>
      </c>
      <c r="G384" s="118" t="s">
        <v>41</v>
      </c>
      <c r="J384" s="113">
        <v>0</v>
      </c>
      <c r="K384" s="114">
        <f>+E388</f>
        <v>6637.3440000000001</v>
      </c>
      <c r="L384" s="115">
        <f>+E310</f>
        <v>185.57870744429954</v>
      </c>
      <c r="M384" s="115">
        <f>+E322</f>
        <v>-1112.9609999999998</v>
      </c>
      <c r="N384" s="111"/>
      <c r="O384" s="113">
        <v>0</v>
      </c>
      <c r="P384" s="114">
        <f>+F388</f>
        <v>6637.3440000000001</v>
      </c>
      <c r="Q384" s="115">
        <f>+F310</f>
        <v>246.6468591803187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527.38774629776628</v>
      </c>
      <c r="D385" s="116">
        <f>0.65*(0.85*D265*10*D375*D382*(0.5*D375-D382/2)+D378*D383*(0.5*D375-D45*10)+D378*D266*10*(D380-0.5*D375))/10000</f>
        <v>527.38774629776628</v>
      </c>
      <c r="E385" s="116">
        <f>0.65*(0.85*E265*10*E375*E382*(0.5*E375-E382/2)+E378*E383*(0.5*E375-E45*10)+E378*E266*10*(E380-0.5*E375))/10000</f>
        <v>527.38774629776628</v>
      </c>
      <c r="F385" s="116">
        <f>0.65*(0.85*F265*10*F375*F382*(0.5*F375-F382/2)+F378*F383*(0.5*F375-F45*10)+F378*F266*10*(F380-0.5*F375))/10000</f>
        <v>527.38774629776628</v>
      </c>
      <c r="G385" s="118" t="s">
        <v>77</v>
      </c>
      <c r="J385" s="116">
        <f>+E385</f>
        <v>527.38774629776628</v>
      </c>
      <c r="K385" s="114">
        <f>+E384</f>
        <v>1403.5169552264042</v>
      </c>
      <c r="L385" s="115">
        <f>+E311</f>
        <v>88.252128409751407</v>
      </c>
      <c r="M385" s="115">
        <f>+E323</f>
        <v>892.76099999999985</v>
      </c>
      <c r="N385" s="111"/>
      <c r="O385" s="116">
        <f>+F385</f>
        <v>527.38774629776628</v>
      </c>
      <c r="P385" s="114">
        <f>+F384</f>
        <v>1403.5169552264042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0.37576157832214596</v>
      </c>
      <c r="D386" s="121">
        <f>+D385/D384</f>
        <v>0.37576157832214596</v>
      </c>
      <c r="E386" s="121">
        <f>+E385/E384</f>
        <v>0.37576157832214596</v>
      </c>
      <c r="F386" s="121">
        <f>+F385/F384</f>
        <v>0.37576157832214596</v>
      </c>
      <c r="G386" s="118" t="s">
        <v>50</v>
      </c>
      <c r="J386" s="117">
        <f>+E390</f>
        <v>487.73340000000007</v>
      </c>
      <c r="K386" s="114">
        <v>0</v>
      </c>
      <c r="L386" s="115">
        <f>+E313</f>
        <v>252.88289510534597</v>
      </c>
      <c r="M386" s="115">
        <f>+E325</f>
        <v>-1042.1115</v>
      </c>
      <c r="N386" s="111"/>
      <c r="O386" s="117">
        <f>+F390</f>
        <v>487.73340000000007</v>
      </c>
      <c r="P386" s="114">
        <v>0</v>
      </c>
      <c r="Q386" s="115">
        <f>+F313</f>
        <v>332.95835788570815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195.52465963436433</v>
      </c>
      <c r="M387" s="115">
        <f>+E324</f>
        <v>-202.566</v>
      </c>
      <c r="N387" s="111"/>
      <c r="O387" s="118">
        <v>0</v>
      </c>
      <c r="P387" s="114">
        <f>F389</f>
        <v>-3855.6</v>
      </c>
      <c r="Q387" s="115">
        <f>+F312</f>
        <v>233.23839886999448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6637.3440000000001</v>
      </c>
      <c r="D388" s="116">
        <f>0.75*(0.8*0.85*D265*10*(D375*D376-D377)+D377*D266*10)/100</f>
        <v>6637.3440000000001</v>
      </c>
      <c r="E388" s="116">
        <f>0.75*(0.8*0.85*E265*10*(E375*E376-E377)+E377*E266*10)/100</f>
        <v>6637.3440000000001</v>
      </c>
      <c r="F388" s="116">
        <f>0.75*(0.8*0.85*F265*10*(F375*F376-F377)+F377*F266*10)/100</f>
        <v>6637.3440000000001</v>
      </c>
      <c r="G388" s="118" t="s">
        <v>41</v>
      </c>
      <c r="X388" s="372"/>
      <c r="Y388" s="372"/>
      <c r="Z388" s="372"/>
      <c r="AA388" s="372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>
        <f>-F377*F266*10/100*0.9</f>
        <v>-3855.6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487.73340000000007</v>
      </c>
      <c r="D390" s="117">
        <f>D378*D266*10*(D380-(D378*D266*10/(0.85*D265*10*D376))/2)/10000*0.9</f>
        <v>487.73340000000007</v>
      </c>
      <c r="E390" s="117">
        <f>E378*E266*10*(E380-(E378*E266*10/(0.85*E265*10*E376))/2)/10000*0.9</f>
        <v>487.73340000000007</v>
      </c>
      <c r="F390" s="117">
        <f>F378*F266*10*(F380-(F378*F266*10/(0.85*F265*10*F376))/2)/10000*0.9</f>
        <v>487.73340000000007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700.00000000000011</v>
      </c>
      <c r="D391" s="116">
        <f>0.1*D265*10*D332/100</f>
        <v>700.00000000000011</v>
      </c>
      <c r="E391" s="116">
        <f>0.1*E265*10*E332/100</f>
        <v>700.00000000000011</v>
      </c>
      <c r="F391" s="116">
        <f>0.1*F265*10*F332/100</f>
        <v>700.00000000000011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</mergeCells>
  <conditionalFormatting sqref="AI8:AI9 AI11 AF8 AF10">
    <cfRule type="expression" dxfId="171" priority="273">
      <formula>AF8&gt;AF7</formula>
    </cfRule>
  </conditionalFormatting>
  <conditionalFormatting sqref="AI12:AI13">
    <cfRule type="expression" dxfId="170" priority="272">
      <formula>AI12&lt;AI1048558</formula>
    </cfRule>
  </conditionalFormatting>
  <conditionalFormatting sqref="AI6 AF6">
    <cfRule type="expression" dxfId="169" priority="271">
      <formula>AF6&gt;AF5</formula>
    </cfRule>
  </conditionalFormatting>
  <conditionalFormatting sqref="AH8:AH9 AH11">
    <cfRule type="expression" dxfId="168" priority="270">
      <formula>AH8&gt;AH7</formula>
    </cfRule>
  </conditionalFormatting>
  <conditionalFormatting sqref="AH12:AH13">
    <cfRule type="expression" dxfId="167" priority="269">
      <formula>AH12&lt;AH1048558</formula>
    </cfRule>
  </conditionalFormatting>
  <conditionalFormatting sqref="AH6">
    <cfRule type="expression" dxfId="166" priority="268">
      <formula>AH6&gt;AH5</formula>
    </cfRule>
  </conditionalFormatting>
  <conditionalFormatting sqref="AF11:AF12">
    <cfRule type="expression" dxfId="165" priority="274">
      <formula>AF11&lt;AG1048547</formula>
    </cfRule>
  </conditionalFormatting>
  <conditionalFormatting sqref="C62:F62">
    <cfRule type="cellIs" dxfId="164" priority="104" operator="notEqual">
      <formula>"OK"</formula>
    </cfRule>
    <cfRule type="cellIs" dxfId="163" priority="105" operator="equal">
      <formula>"OK"</formula>
    </cfRule>
  </conditionalFormatting>
  <conditionalFormatting sqref="C73:F73">
    <cfRule type="cellIs" dxfId="162" priority="102" operator="notEqual">
      <formula>"OK"</formula>
    </cfRule>
    <cfRule type="cellIs" dxfId="161" priority="103" operator="equal">
      <formula>"OK"</formula>
    </cfRule>
  </conditionalFormatting>
  <conditionalFormatting sqref="C84:F84">
    <cfRule type="cellIs" dxfId="160" priority="100" operator="notEqual">
      <formula>"OK"</formula>
    </cfRule>
    <cfRule type="cellIs" dxfId="159" priority="101" operator="equal">
      <formula>"OK"</formula>
    </cfRule>
  </conditionalFormatting>
  <conditionalFormatting sqref="C108:F108">
    <cfRule type="cellIs" dxfId="158" priority="98" operator="notEqual">
      <formula>"OK"</formula>
    </cfRule>
    <cfRule type="cellIs" dxfId="157" priority="99" operator="equal">
      <formula>"OK"</formula>
    </cfRule>
  </conditionalFormatting>
  <conditionalFormatting sqref="C211">
    <cfRule type="cellIs" dxfId="156" priority="96" operator="notEqual">
      <formula>"OK"</formula>
    </cfRule>
    <cfRule type="cellIs" dxfId="155" priority="97" operator="equal">
      <formula>"OK"</formula>
    </cfRule>
  </conditionalFormatting>
  <conditionalFormatting sqref="D211">
    <cfRule type="cellIs" dxfId="154" priority="94" operator="notEqual">
      <formula>"OK"</formula>
    </cfRule>
    <cfRule type="cellIs" dxfId="153" priority="95" operator="equal">
      <formula>"OK"</formula>
    </cfRule>
  </conditionalFormatting>
  <conditionalFormatting sqref="E211">
    <cfRule type="cellIs" dxfId="152" priority="92" operator="notEqual">
      <formula>"OK"</formula>
    </cfRule>
    <cfRule type="cellIs" dxfId="151" priority="93" operator="equal">
      <formula>"OK"</formula>
    </cfRule>
  </conditionalFormatting>
  <conditionalFormatting sqref="F211">
    <cfRule type="cellIs" dxfId="150" priority="90" operator="notEqual">
      <formula>"OK"</formula>
    </cfRule>
    <cfRule type="cellIs" dxfId="149" priority="91" operator="equal">
      <formula>"OK"</formula>
    </cfRule>
  </conditionalFormatting>
  <conditionalFormatting sqref="C216">
    <cfRule type="cellIs" dxfId="148" priority="88" operator="notEqual">
      <formula>"OK"</formula>
    </cfRule>
    <cfRule type="cellIs" dxfId="147" priority="89" operator="equal">
      <formula>"OK"</formula>
    </cfRule>
  </conditionalFormatting>
  <conditionalFormatting sqref="D216">
    <cfRule type="cellIs" dxfId="146" priority="86" operator="notEqual">
      <formula>"OK"</formula>
    </cfRule>
    <cfRule type="cellIs" dxfId="145" priority="87" operator="equal">
      <formula>"OK"</formula>
    </cfRule>
  </conditionalFormatting>
  <conditionalFormatting sqref="E216">
    <cfRule type="cellIs" dxfId="144" priority="84" operator="notEqual">
      <formula>"OK"</formula>
    </cfRule>
    <cfRule type="cellIs" dxfId="143" priority="85" operator="equal">
      <formula>"OK"</formula>
    </cfRule>
  </conditionalFormatting>
  <conditionalFormatting sqref="F216">
    <cfRule type="cellIs" dxfId="142" priority="82" operator="notEqual">
      <formula>"OK"</formula>
    </cfRule>
    <cfRule type="cellIs" dxfId="141" priority="83" operator="equal">
      <formula>"OK"</formula>
    </cfRule>
  </conditionalFormatting>
  <conditionalFormatting sqref="C348">
    <cfRule type="cellIs" dxfId="140" priority="80" operator="notEqual">
      <formula>"OK"</formula>
    </cfRule>
    <cfRule type="cellIs" dxfId="139" priority="81" operator="equal">
      <formula>"OK"</formula>
    </cfRule>
  </conditionalFormatting>
  <conditionalFormatting sqref="D348">
    <cfRule type="cellIs" dxfId="138" priority="78" operator="notEqual">
      <formula>"OK"</formula>
    </cfRule>
    <cfRule type="cellIs" dxfId="137" priority="79" operator="equal">
      <formula>"OK"</formula>
    </cfRule>
  </conditionalFormatting>
  <conditionalFormatting sqref="E348">
    <cfRule type="cellIs" dxfId="136" priority="76" operator="notEqual">
      <formula>"OK"</formula>
    </cfRule>
    <cfRule type="cellIs" dxfId="135" priority="77" operator="equal">
      <formula>"OK"</formula>
    </cfRule>
  </conditionalFormatting>
  <conditionalFormatting sqref="F348">
    <cfRule type="cellIs" dxfId="134" priority="74" operator="notEqual">
      <formula>"OK"</formula>
    </cfRule>
    <cfRule type="cellIs" dxfId="133" priority="75" operator="equal">
      <formula>"OK"</formula>
    </cfRule>
  </conditionalFormatting>
  <conditionalFormatting sqref="D30:G33">
    <cfRule type="cellIs" dxfId="132" priority="73" operator="lessThan">
      <formula>0</formula>
    </cfRule>
  </conditionalFormatting>
  <conditionalFormatting sqref="H30">
    <cfRule type="cellIs" dxfId="131" priority="72" operator="greaterThan">
      <formula>0</formula>
    </cfRule>
  </conditionalFormatting>
  <conditionalFormatting sqref="H31">
    <cfRule type="cellIs" dxfId="130" priority="71" operator="lessThan">
      <formula>0</formula>
    </cfRule>
  </conditionalFormatting>
  <conditionalFormatting sqref="C30">
    <cfRule type="cellIs" dxfId="129" priority="70" operator="greaterThan">
      <formula>0</formula>
    </cfRule>
  </conditionalFormatting>
  <conditionalFormatting sqref="C31">
    <cfRule type="cellIs" dxfId="128" priority="69" operator="lessThan">
      <formula>0</formula>
    </cfRule>
  </conditionalFormatting>
  <conditionalFormatting sqref="C130:F130">
    <cfRule type="cellIs" dxfId="127" priority="67" operator="notEqual">
      <formula>"OK"</formula>
    </cfRule>
    <cfRule type="cellIs" dxfId="126" priority="68" operator="equal">
      <formula>"OK"</formula>
    </cfRule>
  </conditionalFormatting>
  <conditionalFormatting sqref="C152:F152">
    <cfRule type="cellIs" dxfId="125" priority="65" operator="notEqual">
      <formula>"OK"</formula>
    </cfRule>
    <cfRule type="cellIs" dxfId="124" priority="66" operator="equal">
      <formula>"OK"</formula>
    </cfRule>
  </conditionalFormatting>
  <conditionalFormatting sqref="C174:F174">
    <cfRule type="cellIs" dxfId="123" priority="63" operator="notEqual">
      <formula>"OK"</formula>
    </cfRule>
    <cfRule type="cellIs" dxfId="122" priority="64" operator="equal">
      <formula>"OK"</formula>
    </cfRule>
  </conditionalFormatting>
  <conditionalFormatting sqref="C99:F100">
    <cfRule type="cellIs" dxfId="121" priority="62" operator="greaterThan">
      <formula>$C$42/6</formula>
    </cfRule>
  </conditionalFormatting>
  <conditionalFormatting sqref="C121:F122">
    <cfRule type="cellIs" dxfId="120" priority="61" operator="greaterThan">
      <formula>$C$42/6</formula>
    </cfRule>
  </conditionalFormatting>
  <conditionalFormatting sqref="C143:F144">
    <cfRule type="cellIs" dxfId="119" priority="60" operator="greaterThan">
      <formula>$C$42/6</formula>
    </cfRule>
  </conditionalFormatting>
  <conditionalFormatting sqref="C166:F166 D165:F165">
    <cfRule type="cellIs" dxfId="118" priority="59" operator="greaterThan">
      <formula>$C$42/6</formula>
    </cfRule>
  </conditionalFormatting>
  <conditionalFormatting sqref="C189:F190">
    <cfRule type="cellIs" dxfId="117" priority="58" operator="greaterThan">
      <formula>$C$42/6</formula>
    </cfRule>
  </conditionalFormatting>
  <conditionalFormatting sqref="C225:F225">
    <cfRule type="cellIs" dxfId="116" priority="57" operator="greaterThan">
      <formula>0.25</formula>
    </cfRule>
  </conditionalFormatting>
  <conditionalFormatting sqref="C234:F234">
    <cfRule type="cellIs" dxfId="115" priority="56" operator="greaterThan">
      <formula>0.25</formula>
    </cfRule>
  </conditionalFormatting>
  <conditionalFormatting sqref="C340">
    <cfRule type="cellIs" dxfId="114" priority="53" operator="greaterThan">
      <formula>0.3</formula>
    </cfRule>
  </conditionalFormatting>
  <conditionalFormatting sqref="D23:G25 F22:G22">
    <cfRule type="cellIs" dxfId="113" priority="52" operator="lessThan">
      <formula>0</formula>
    </cfRule>
  </conditionalFormatting>
  <conditionalFormatting sqref="H22">
    <cfRule type="cellIs" dxfId="112" priority="51" operator="greaterThan">
      <formula>0</formula>
    </cfRule>
  </conditionalFormatting>
  <conditionalFormatting sqref="H23">
    <cfRule type="cellIs" dxfId="111" priority="50" operator="lessThan">
      <formula>0</formula>
    </cfRule>
  </conditionalFormatting>
  <conditionalFormatting sqref="C22">
    <cfRule type="cellIs" dxfId="110" priority="49" operator="greaterThan">
      <formula>0</formula>
    </cfRule>
  </conditionalFormatting>
  <conditionalFormatting sqref="C23:E23">
    <cfRule type="cellIs" dxfId="109" priority="48" operator="lessThan">
      <formula>0</formula>
    </cfRule>
  </conditionalFormatting>
  <conditionalFormatting sqref="C165">
    <cfRule type="cellIs" dxfId="108" priority="45" operator="greaterThan">
      <formula>$C$42/6</formula>
    </cfRule>
  </conditionalFormatting>
  <conditionalFormatting sqref="C274:F274">
    <cfRule type="cellIs" dxfId="107" priority="44" operator="equal">
      <formula>"Revisar"</formula>
    </cfRule>
  </conditionalFormatting>
  <conditionalFormatting sqref="I46:I52">
    <cfRule type="cellIs" dxfId="106" priority="41" operator="lessThan">
      <formula>1</formula>
    </cfRule>
    <cfRule type="cellIs" dxfId="105" priority="42" operator="greaterThan">
      <formula>1</formula>
    </cfRule>
  </conditionalFormatting>
  <conditionalFormatting sqref="G337">
    <cfRule type="cellIs" dxfId="104" priority="40" operator="lessThan">
      <formula>10</formula>
    </cfRule>
  </conditionalFormatting>
  <conditionalFormatting sqref="G336">
    <cfRule type="cellIs" dxfId="103" priority="35" operator="lessThan">
      <formula>MAX($C$336:$F$336)</formula>
    </cfRule>
    <cfRule type="cellIs" dxfId="102" priority="38" operator="greaterThan">
      <formula>20</formula>
    </cfRule>
  </conditionalFormatting>
  <conditionalFormatting sqref="G233">
    <cfRule type="cellIs" dxfId="101" priority="37" operator="lessThan">
      <formula>MAX($C$233:$F$233)</formula>
    </cfRule>
  </conditionalFormatting>
  <conditionalFormatting sqref="G224">
    <cfRule type="cellIs" dxfId="100" priority="36" operator="lessThan">
      <formula>MAX($C$224:$F$224)</formula>
    </cfRule>
  </conditionalFormatting>
  <conditionalFormatting sqref="C39">
    <cfRule type="cellIs" dxfId="99" priority="282" operator="lessThan">
      <formula>$L$34</formula>
    </cfRule>
  </conditionalFormatting>
  <conditionalFormatting sqref="C42">
    <cfRule type="cellIs" dxfId="98" priority="283" operator="greaterThan">
      <formula>$J$36/2</formula>
    </cfRule>
  </conditionalFormatting>
  <conditionalFormatting sqref="L40:L43">
    <cfRule type="cellIs" dxfId="97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6" priority="10" stopIfTrue="1">
      <formula>$J$2=1</formula>
    </cfRule>
  </conditionalFormatting>
  <conditionalFormatting sqref="C326:F329">
    <cfRule type="cellIs" dxfId="95" priority="12" operator="equal">
      <formula>"Aumentar D"</formula>
    </cfRule>
  </conditionalFormatting>
  <conditionalFormatting sqref="D22:E22">
    <cfRule type="cellIs" dxfId="94" priority="11" operator="lessThan">
      <formula>0</formula>
    </cfRule>
  </conditionalFormatting>
  <conditionalFormatting sqref="C40">
    <cfRule type="expression" dxfId="93" priority="5">
      <formula>AND($C$40&lt;&gt;0.4, $J$5=1)</formula>
    </cfRule>
  </conditionalFormatting>
  <conditionalFormatting sqref="I326">
    <cfRule type="cellIs" dxfId="92" priority="4" operator="equal">
      <formula>"Aumentar D"</formula>
    </cfRule>
  </conditionalFormatting>
  <conditionalFormatting sqref="M45:M46">
    <cfRule type="cellIs" dxfId="91" priority="3" operator="equal">
      <formula>"Aumentar D"</formula>
    </cfRule>
  </conditionalFormatting>
  <conditionalFormatting sqref="C43">
    <cfRule type="expression" dxfId="90" priority="287">
      <formula>AND($C$43&lt;&gt;1, $J$5=1)</formula>
    </cfRule>
    <cfRule type="expression" dxfId="89" priority="288">
      <formula>AND($C$43&lt;$L$35, $J$5&lt;&gt;1)</formula>
    </cfRule>
  </conditionalFormatting>
  <conditionalFormatting sqref="J339">
    <cfRule type="cellIs" dxfId="88" priority="1" operator="notEqual">
      <formula>"OK"</formula>
    </cfRule>
    <cfRule type="cellIs" dxfId="87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C13" sqref="C13:E13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394" t="s">
        <v>271</v>
      </c>
      <c r="C2" s="395"/>
      <c r="D2" s="395"/>
      <c r="E2" s="395"/>
      <c r="F2" s="395"/>
      <c r="G2" s="395"/>
      <c r="H2" s="395"/>
      <c r="I2" s="396"/>
      <c r="M2" s="83"/>
    </row>
    <row r="3" spans="2:23" ht="12" customHeight="1" thickBot="1">
      <c r="B3" s="397"/>
      <c r="C3" s="398"/>
      <c r="D3" s="398"/>
      <c r="E3" s="398"/>
      <c r="F3" s="398"/>
      <c r="G3" s="398"/>
      <c r="H3" s="398"/>
      <c r="I3" s="399"/>
      <c r="M3" s="82"/>
    </row>
    <row r="4" spans="2:23" ht="12" customHeight="1" thickBot="1">
      <c r="B4" s="400" t="s">
        <v>353</v>
      </c>
      <c r="C4" s="401"/>
      <c r="D4" s="401"/>
      <c r="E4" s="402"/>
      <c r="F4" s="412" t="str">
        <f>+Dis_Cuadrado!A2</f>
        <v>TXS2</v>
      </c>
      <c r="G4" s="413"/>
      <c r="H4" s="413"/>
      <c r="I4" s="414"/>
      <c r="K4" s="80"/>
      <c r="M4" s="83"/>
    </row>
    <row r="5" spans="2:23" ht="12" customHeight="1">
      <c r="B5" s="285" t="s">
        <v>354</v>
      </c>
      <c r="C5" s="418" t="s">
        <v>355</v>
      </c>
      <c r="D5" s="418"/>
      <c r="E5" s="419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15" t="s">
        <v>150</v>
      </c>
      <c r="O5" s="416"/>
      <c r="P5" s="416"/>
      <c r="Q5" s="417"/>
    </row>
    <row r="6" spans="2:23" ht="12" customHeight="1">
      <c r="B6" s="286"/>
      <c r="C6" s="420" t="s">
        <v>272</v>
      </c>
      <c r="D6" s="420"/>
      <c r="E6" s="421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20" t="s">
        <v>4</v>
      </c>
      <c r="D7" s="420"/>
      <c r="E7" s="421"/>
      <c r="F7" s="96" t="str">
        <f>+Dis_Cuadrado!$D$5</f>
        <v>GRANULAR</v>
      </c>
      <c r="G7" s="96" t="str">
        <f>+Dis_Cuadrado!$D$5</f>
        <v>GRANULAR</v>
      </c>
      <c r="H7" s="96" t="str">
        <f>+Dis_Cuadrado!$D$5</f>
        <v>GRANULAR</v>
      </c>
      <c r="I7" s="96" t="str">
        <f>+Dis_Cuadrado!$D$5</f>
        <v>GRANULAR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20" t="s">
        <v>274</v>
      </c>
      <c r="D8" s="420"/>
      <c r="E8" s="421"/>
      <c r="F8" s="85" t="str">
        <f>Dis_Cuadrado!$C$5</f>
        <v>SECA</v>
      </c>
      <c r="G8" s="85" t="str">
        <f>Dis_Cuadrado!$C$5</f>
        <v>SECA</v>
      </c>
      <c r="H8" s="85" t="str">
        <f>Dis_Cuadrado!$C$5</f>
        <v>SECA</v>
      </c>
      <c r="I8" s="85" t="str">
        <f>Dis_Cuadrado!$C$5</f>
        <v>SECA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20" t="s">
        <v>275</v>
      </c>
      <c r="D9" s="420"/>
      <c r="E9" s="421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20" t="s">
        <v>357</v>
      </c>
      <c r="D10" s="420"/>
      <c r="E10" s="421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20" t="s">
        <v>359</v>
      </c>
      <c r="D11" s="420"/>
      <c r="E11" s="421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20" t="s">
        <v>361</v>
      </c>
      <c r="D12" s="420"/>
      <c r="E12" s="421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20" t="s">
        <v>363</v>
      </c>
      <c r="D13" s="420"/>
      <c r="E13" s="421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20" t="s">
        <v>365</v>
      </c>
      <c r="D14" s="420"/>
      <c r="E14" s="421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20" t="s">
        <v>276</v>
      </c>
      <c r="D15" s="420"/>
      <c r="E15" s="421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25" t="s">
        <v>277</v>
      </c>
      <c r="D16" s="425"/>
      <c r="E16" s="426"/>
      <c r="F16" s="106">
        <f>+Dis_Cuadrado!$C$16</f>
        <v>28</v>
      </c>
      <c r="G16" s="106">
        <f>+Dis_Cuadrado!$C$16</f>
        <v>28</v>
      </c>
      <c r="H16" s="106">
        <f>+Dis_Cuadrado!$C$16</f>
        <v>28</v>
      </c>
      <c r="I16" s="106">
        <f>+Dis_Cuadrado!$C$16</f>
        <v>28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03" t="s">
        <v>278</v>
      </c>
      <c r="C17" s="404"/>
      <c r="D17" s="409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05"/>
      <c r="C18" s="406"/>
      <c r="D18" s="410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05"/>
      <c r="C19" s="406"/>
      <c r="D19" s="410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05"/>
      <c r="C20" s="406"/>
      <c r="D20" s="410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05"/>
      <c r="C21" s="406"/>
      <c r="D21" s="410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05"/>
      <c r="C22" s="406"/>
      <c r="D22" s="410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07"/>
      <c r="C23" s="408"/>
      <c r="D23" s="411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03" t="s">
        <v>286</v>
      </c>
      <c r="C24" s="404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05"/>
      <c r="C25" s="406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405"/>
      <c r="C26" s="406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405"/>
      <c r="C27" s="406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405"/>
      <c r="C28" s="406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405"/>
      <c r="C29" s="406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05"/>
      <c r="C30" s="406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07"/>
      <c r="C31" s="408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403" t="s">
        <v>288</v>
      </c>
      <c r="C32" s="404"/>
      <c r="D32" s="409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405"/>
      <c r="C33" s="406"/>
      <c r="D33" s="410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05"/>
      <c r="C34" s="406"/>
      <c r="D34" s="410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05"/>
      <c r="C35" s="406"/>
      <c r="D35" s="410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405"/>
      <c r="C36" s="406"/>
      <c r="D36" s="410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405"/>
      <c r="C37" s="406"/>
      <c r="D37" s="410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405"/>
      <c r="C38" s="406"/>
      <c r="D38" s="410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405"/>
      <c r="C39" s="406"/>
      <c r="D39" s="410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407"/>
      <c r="C40" s="408"/>
      <c r="D40" s="411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403" t="s">
        <v>288</v>
      </c>
      <c r="C41" s="404"/>
      <c r="D41" s="409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405"/>
      <c r="C42" s="406"/>
      <c r="D42" s="410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05"/>
      <c r="C43" s="406"/>
      <c r="D43" s="410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405"/>
      <c r="C44" s="406"/>
      <c r="D44" s="410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405"/>
      <c r="C45" s="406"/>
      <c r="D45" s="410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405"/>
      <c r="C46" s="406"/>
      <c r="D46" s="410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405"/>
      <c r="C47" s="406"/>
      <c r="D47" s="410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407"/>
      <c r="C48" s="408"/>
      <c r="D48" s="411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403" t="s">
        <v>290</v>
      </c>
      <c r="C49" s="404"/>
      <c r="D49" s="409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05"/>
      <c r="C50" s="406"/>
      <c r="D50" s="410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05"/>
      <c r="C51" s="406"/>
      <c r="D51" s="410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05"/>
      <c r="C52" s="406"/>
      <c r="D52" s="410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05"/>
      <c r="C53" s="406"/>
      <c r="D53" s="410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05"/>
      <c r="C54" s="406"/>
      <c r="D54" s="410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05"/>
      <c r="C55" s="406"/>
      <c r="D55" s="410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07"/>
      <c r="C56" s="408"/>
      <c r="D56" s="411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03" t="s">
        <v>376</v>
      </c>
      <c r="C57" s="404"/>
      <c r="D57" s="409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05"/>
      <c r="C58" s="406"/>
      <c r="D58" s="410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05"/>
      <c r="C59" s="406"/>
      <c r="D59" s="410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05"/>
      <c r="C60" s="406"/>
      <c r="D60" s="410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05"/>
      <c r="C61" s="406"/>
      <c r="D61" s="410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05"/>
      <c r="C62" s="406"/>
      <c r="D62" s="410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05"/>
      <c r="C63" s="406"/>
      <c r="D63" s="410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07"/>
      <c r="C64" s="408"/>
      <c r="D64" s="411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27" t="s">
        <v>367</v>
      </c>
      <c r="C65" s="428"/>
      <c r="D65" s="428"/>
      <c r="E65" s="429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30" t="s">
        <v>368</v>
      </c>
      <c r="C66" s="431"/>
      <c r="D66" s="431"/>
      <c r="E66" s="432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30" t="s">
        <v>369</v>
      </c>
      <c r="C67" s="431"/>
      <c r="D67" s="431"/>
      <c r="E67" s="432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33" t="s">
        <v>370</v>
      </c>
      <c r="C68" s="434"/>
      <c r="D68" s="434"/>
      <c r="E68" s="435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22" t="s">
        <v>366</v>
      </c>
      <c r="C69" s="423"/>
      <c r="D69" s="423"/>
      <c r="E69" s="424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66:E66"/>
    <mergeCell ref="B67:E67"/>
    <mergeCell ref="B68:E68"/>
    <mergeCell ref="B57:C64"/>
    <mergeCell ref="B49:C56"/>
    <mergeCell ref="D49:D56"/>
    <mergeCell ref="D57:D64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2:I3"/>
    <mergeCell ref="B4:E4"/>
    <mergeCell ref="B24:C31"/>
    <mergeCell ref="B32:C40"/>
    <mergeCell ref="B41:C48"/>
    <mergeCell ref="D32:D40"/>
    <mergeCell ref="D41:D48"/>
    <mergeCell ref="F4:I4"/>
    <mergeCell ref="B17:C23"/>
  </mergeCells>
  <conditionalFormatting sqref="B32:I40">
    <cfRule type="expression" dxfId="86" priority="2">
      <formula>OR($F$22=16)</formula>
    </cfRule>
  </conditionalFormatting>
  <conditionalFormatting sqref="B41:I48">
    <cfRule type="expression" dxfId="85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09"/>
  <sheetViews>
    <sheetView showGridLines="0" tabSelected="1" topLeftCell="A34" zoomScaleNormal="100" zoomScaleSheetLayoutView="80" workbookViewId="0">
      <selection activeCell="B38" sqref="B38"/>
    </sheetView>
  </sheetViews>
  <sheetFormatPr baseColWidth="10" defaultColWidth="11.42578125" defaultRowHeight="15"/>
  <cols>
    <col min="1" max="1" width="12.7109375" style="344" customWidth="1"/>
    <col min="2" max="2" width="53.28515625" customWidth="1"/>
    <col min="3" max="3" width="29.85546875" customWidth="1"/>
    <col min="4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62" t="s">
        <v>390</v>
      </c>
      <c r="B2" s="363"/>
      <c r="C2" s="124"/>
      <c r="D2" s="124"/>
      <c r="E2" s="124"/>
      <c r="F2" s="124"/>
      <c r="G2" s="124"/>
      <c r="H2" s="122"/>
      <c r="I2" s="100"/>
      <c r="J2" s="306">
        <v>2</v>
      </c>
      <c r="Q2" s="366" t="s">
        <v>0</v>
      </c>
      <c r="R2" s="367"/>
      <c r="S2" s="367"/>
      <c r="T2" s="367"/>
      <c r="U2" s="367"/>
      <c r="V2" s="368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64"/>
      <c r="B3" s="365"/>
      <c r="C3" s="50"/>
      <c r="H3" s="28"/>
      <c r="I3" s="100"/>
      <c r="J3" s="203"/>
      <c r="L3" s="31"/>
      <c r="M3" s="31"/>
      <c r="N3" s="31"/>
      <c r="O3" s="31"/>
      <c r="P3" s="31"/>
      <c r="Q3" s="369" t="s">
        <v>1</v>
      </c>
      <c r="R3" s="370"/>
      <c r="S3" s="370"/>
      <c r="T3" s="370"/>
      <c r="U3" s="370"/>
      <c r="V3" s="371"/>
      <c r="W3" s="138"/>
      <c r="X3" s="138"/>
      <c r="Y3" s="138"/>
      <c r="Z3" s="138"/>
      <c r="AE3" s="141"/>
      <c r="AF3" s="142"/>
      <c r="AH3" s="142"/>
      <c r="AI3" s="142"/>
      <c r="AJ3" s="372"/>
      <c r="AK3" s="372"/>
      <c r="AL3" s="372"/>
      <c r="AM3" s="372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344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344"/>
      <c r="P5" s="344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Hp=0 m</v>
      </c>
      <c r="AB5" t="str">
        <f t="shared" si="0"/>
        <v>DIAGRAMA FLEXOCOMPRESIÓN PEDESTAL Hp=0 m</v>
      </c>
      <c r="AC5" t="str">
        <f t="shared" si="0"/>
        <v>DIAGRAMA FLEXOCOMPRESIÓN PEDESTAL Hp=0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73" t="s">
        <v>14</v>
      </c>
      <c r="G6" s="374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69" t="s">
        <v>27</v>
      </c>
      <c r="R11" s="370"/>
      <c r="S11" s="370"/>
      <c r="T11" s="370"/>
      <c r="U11" s="370"/>
      <c r="V11" s="371"/>
      <c r="W11" s="375"/>
      <c r="X11" s="375"/>
      <c r="Y11" s="375"/>
      <c r="Z11" s="375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28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345">
        <v>2</v>
      </c>
      <c r="B19" s="185" t="s">
        <v>33</v>
      </c>
      <c r="C19" s="376" t="s">
        <v>34</v>
      </c>
      <c r="D19" s="377"/>
      <c r="E19" s="377"/>
      <c r="F19" s="377" t="s">
        <v>35</v>
      </c>
      <c r="G19" s="377"/>
      <c r="H19" s="378"/>
      <c r="I19" s="100"/>
      <c r="J19" s="377" t="s">
        <v>34</v>
      </c>
      <c r="K19" s="377"/>
      <c r="L19" s="377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344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G25" si="2">+D22</f>
        <v>12.010999999999999</v>
      </c>
      <c r="G22" s="261">
        <f t="shared" si="2"/>
        <v>22.925999999999998</v>
      </c>
      <c r="H22" s="262">
        <f t="shared" ref="H22:H25" si="3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2"/>
        <v>8.7789999999999999</v>
      </c>
      <c r="H23" s="262">
        <f t="shared" si="3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si="2"/>
        <v>19.401</v>
      </c>
      <c r="H24" s="263">
        <f t="shared" si="3"/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4">+D25</f>
        <v>7.34</v>
      </c>
      <c r="G25" s="260">
        <f t="shared" si="2"/>
        <v>35.332999999999998</v>
      </c>
      <c r="H25" s="263">
        <f t="shared" si="3"/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76" t="s">
        <v>34</v>
      </c>
      <c r="D27" s="377"/>
      <c r="E27" s="377"/>
      <c r="F27" s="377" t="s">
        <v>35</v>
      </c>
      <c r="G27" s="377"/>
      <c r="H27" s="378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344"/>
      <c r="M28" s="344"/>
      <c r="N28" s="344"/>
      <c r="O28" s="344"/>
      <c r="P28" s="344"/>
      <c r="Q28" s="344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344"/>
      <c r="M29" s="344"/>
      <c r="N29" s="344"/>
      <c r="O29" s="344"/>
      <c r="P29" s="344"/>
      <c r="Q29" s="344"/>
      <c r="R29" s="344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5">D22*1.5</f>
        <v>18.016500000000001</v>
      </c>
      <c r="E30" s="318">
        <f t="shared" si="5"/>
        <v>34.388999999999996</v>
      </c>
      <c r="F30" s="318">
        <f t="shared" si="5"/>
        <v>18.016500000000001</v>
      </c>
      <c r="G30" s="318">
        <f t="shared" si="5"/>
        <v>34.388999999999996</v>
      </c>
      <c r="H30" s="319">
        <f t="shared" si="5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6">C23*1.5</f>
        <v>912.86099999999988</v>
      </c>
      <c r="D31" s="318">
        <f t="shared" si="6"/>
        <v>22.816500000000001</v>
      </c>
      <c r="E31" s="318">
        <f t="shared" si="6"/>
        <v>13.1685</v>
      </c>
      <c r="F31" s="318">
        <f t="shared" si="6"/>
        <v>22.816500000000001</v>
      </c>
      <c r="G31" s="318">
        <f t="shared" si="6"/>
        <v>13.1685</v>
      </c>
      <c r="H31" s="319">
        <f t="shared" si="6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6"/>
        <v>-182.46600000000001</v>
      </c>
      <c r="D32" s="317">
        <f t="shared" si="6"/>
        <v>46.314</v>
      </c>
      <c r="E32" s="318">
        <f t="shared" si="6"/>
        <v>29.101500000000001</v>
      </c>
      <c r="F32" s="317">
        <f t="shared" si="6"/>
        <v>46.314</v>
      </c>
      <c r="G32" s="318">
        <f t="shared" si="6"/>
        <v>29.101500000000001</v>
      </c>
      <c r="H32" s="320">
        <f t="shared" si="6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6"/>
        <v>-1022.0115000000001</v>
      </c>
      <c r="D33" s="318">
        <f t="shared" si="6"/>
        <v>11.01</v>
      </c>
      <c r="E33" s="317">
        <f t="shared" si="6"/>
        <v>52.999499999999998</v>
      </c>
      <c r="F33" s="318">
        <f t="shared" si="6"/>
        <v>11.01</v>
      </c>
      <c r="G33" s="317">
        <f t="shared" si="6"/>
        <v>52.999499999999998</v>
      </c>
      <c r="H33" s="320">
        <f t="shared" si="6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347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347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347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0</v>
      </c>
      <c r="E38" s="181">
        <v>0</v>
      </c>
      <c r="F38" s="181">
        <v>0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7">+C39</f>
        <v>0.5</v>
      </c>
      <c r="E39" s="201">
        <f t="shared" si="7"/>
        <v>0.5</v>
      </c>
      <c r="F39" s="201">
        <f t="shared" si="7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7"/>
        <v>0.4</v>
      </c>
      <c r="E40" s="201">
        <f t="shared" si="7"/>
        <v>0.4</v>
      </c>
      <c r="F40" s="201">
        <f t="shared" si="7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19</v>
      </c>
      <c r="K40" s="74">
        <f>+($C$42-2*$C$45)/(J40-1)</f>
        <v>0.125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2.6</v>
      </c>
      <c r="E41" s="201">
        <f>+E43-E40+E38</f>
        <v>2.6</v>
      </c>
      <c r="F41" s="201">
        <f>+F43-F40+F38</f>
        <v>2.6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12</v>
      </c>
      <c r="K41" s="74">
        <f t="shared" ref="K41:K43" si="8">+($C$42-2*$C$45)/(J41-1)</f>
        <v>0.20454545454545456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9">+C42</f>
        <v>2.4</v>
      </c>
      <c r="E42" s="201">
        <f t="shared" si="9"/>
        <v>2.4</v>
      </c>
      <c r="F42" s="201">
        <f t="shared" si="9"/>
        <v>2.4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9</v>
      </c>
      <c r="K42" s="74">
        <f t="shared" si="8"/>
        <v>0.28125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9"/>
        <v>3</v>
      </c>
      <c r="E43" s="201">
        <f t="shared" si="9"/>
        <v>3</v>
      </c>
      <c r="F43" s="201">
        <f t="shared" si="9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7</v>
      </c>
      <c r="K43" s="74">
        <f t="shared" si="8"/>
        <v>0.375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9"/>
        <v>0.05</v>
      </c>
      <c r="E44" s="201">
        <f t="shared" si="9"/>
        <v>0.05</v>
      </c>
      <c r="F44" s="201">
        <f t="shared" si="9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si="9"/>
        <v>7.4999999999999997E-2</v>
      </c>
      <c r="E45" s="202">
        <f t="shared" si="9"/>
        <v>7.4999999999999997E-2</v>
      </c>
      <c r="F45" s="202">
        <f t="shared" si="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347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10">+K46/L46/(1+$I$45)</f>
        <v>0.65619649386357159</v>
      </c>
      <c r="J46" s="100" t="s">
        <v>301</v>
      </c>
      <c r="K46" s="203">
        <f>+J61</f>
        <v>1.0433524252430788</v>
      </c>
      <c r="L46" s="162">
        <v>1.5</v>
      </c>
      <c r="M46" s="313">
        <f>+I326</f>
        <v>0.79167564779568167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11">+D43-D40</f>
        <v>2.6</v>
      </c>
      <c r="E47" s="244">
        <f t="shared" si="11"/>
        <v>2.6</v>
      </c>
      <c r="F47" s="244">
        <f>+F43-F40</f>
        <v>2.6</v>
      </c>
      <c r="G47" s="245" t="s">
        <v>50</v>
      </c>
      <c r="H47" s="28"/>
      <c r="I47" s="4">
        <f t="shared" si="10"/>
        <v>0.17753893664302137</v>
      </c>
      <c r="J47" s="100" t="s">
        <v>302</v>
      </c>
      <c r="K47" s="203">
        <f>+J72</f>
        <v>0.28228690926240402</v>
      </c>
      <c r="L47" s="162">
        <v>1.5</v>
      </c>
      <c r="M47" s="314">
        <f>+I327</f>
        <v>0.37887254603067472</v>
      </c>
    </row>
    <row r="48" spans="1:16" ht="15.75" thickBot="1">
      <c r="A48" s="347"/>
      <c r="B48" s="200" t="s">
        <v>58</v>
      </c>
      <c r="C48" s="4"/>
      <c r="H48" s="28"/>
      <c r="I48" s="4">
        <f t="shared" si="10"/>
        <v>11.252901090943517</v>
      </c>
      <c r="J48" s="100" t="s">
        <v>303</v>
      </c>
      <c r="K48" s="203">
        <f>+J82</f>
        <v>17.892112734600193</v>
      </c>
      <c r="L48" s="162">
        <v>1.5</v>
      </c>
    </row>
    <row r="49" spans="1:12" ht="17.25">
      <c r="A49" s="347"/>
      <c r="B49" s="1" t="s">
        <v>59</v>
      </c>
      <c r="C49" s="202">
        <f>+C40*C42^2+C41*C39^2</f>
        <v>3.2039999999999997</v>
      </c>
      <c r="D49" s="201">
        <f t="shared" ref="D49:E49" si="12">+D40*D42^2+D41*D39^2</f>
        <v>2.9539999999999997</v>
      </c>
      <c r="E49" s="201">
        <f t="shared" si="12"/>
        <v>2.9539999999999997</v>
      </c>
      <c r="F49" s="201">
        <f>+F40*F42^2+F41*F39^2</f>
        <v>2.9539999999999997</v>
      </c>
      <c r="G49" s="5" t="s">
        <v>60</v>
      </c>
      <c r="H49" s="28"/>
      <c r="I49" s="4">
        <f t="shared" si="10"/>
        <v>0.49223265288030849</v>
      </c>
      <c r="J49" s="100" t="s">
        <v>304</v>
      </c>
      <c r="K49" s="203">
        <f>+L106/MAX(J106,J150,J172,J128)</f>
        <v>0.52176661205312702</v>
      </c>
      <c r="L49" s="162">
        <v>1</v>
      </c>
    </row>
    <row r="50" spans="1:12" ht="17.25">
      <c r="A50" s="347"/>
      <c r="B50" s="1" t="s">
        <v>61</v>
      </c>
      <c r="C50" s="202">
        <f>(C43-C40)*(C42^2-C39^2)</f>
        <v>14.326000000000001</v>
      </c>
      <c r="D50" s="201">
        <f t="shared" ref="D50:F50" si="13">(D43-D40)*(D42^2-D39^2)</f>
        <v>14.326000000000001</v>
      </c>
      <c r="E50" s="201">
        <f t="shared" si="13"/>
        <v>14.326000000000001</v>
      </c>
      <c r="F50" s="201">
        <f t="shared" si="13"/>
        <v>14.326000000000001</v>
      </c>
      <c r="G50" s="5" t="s">
        <v>60</v>
      </c>
      <c r="H50" s="28"/>
      <c r="I50" s="4">
        <f t="shared" si="10"/>
        <v>1.3601804627395453</v>
      </c>
      <c r="J50" s="100" t="s">
        <v>324</v>
      </c>
      <c r="K50" s="203">
        <f>+L206</f>
        <v>1.3228756555322954</v>
      </c>
      <c r="L50" s="203">
        <f>+J206</f>
        <v>0.91752229621940584</v>
      </c>
    </row>
    <row r="51" spans="1:12" ht="17.25">
      <c r="A51" s="347"/>
      <c r="B51" s="1" t="s">
        <v>62</v>
      </c>
      <c r="C51" s="202">
        <f>+C43*C42^2</f>
        <v>17.28</v>
      </c>
      <c r="D51" s="201">
        <f t="shared" ref="D51:F51" si="14">+D43*D42^2</f>
        <v>17.28</v>
      </c>
      <c r="E51" s="201">
        <f t="shared" si="14"/>
        <v>17.28</v>
      </c>
      <c r="F51" s="201">
        <f t="shared" si="14"/>
        <v>17.28</v>
      </c>
      <c r="G51" s="5" t="s">
        <v>60</v>
      </c>
      <c r="H51" s="28"/>
      <c r="I51" s="4">
        <f t="shared" si="10"/>
        <v>1.3934138581065882</v>
      </c>
      <c r="J51" s="100" t="s">
        <v>323</v>
      </c>
      <c r="K51" s="203">
        <f>+L212</f>
        <v>526.23993577074702</v>
      </c>
      <c r="L51" s="203">
        <f>+J212</f>
        <v>356.28522474266117</v>
      </c>
    </row>
    <row r="52" spans="1:12" ht="15.75" thickBot="1">
      <c r="A52" s="349"/>
      <c r="B52" s="50"/>
      <c r="C52" s="50"/>
      <c r="D52" s="50"/>
      <c r="E52" s="50"/>
      <c r="F52" s="50"/>
      <c r="G52" s="227"/>
      <c r="H52" s="127"/>
      <c r="I52" s="4">
        <f t="shared" si="10"/>
        <v>4.0847525576431361</v>
      </c>
      <c r="J52" s="100" t="s">
        <v>322</v>
      </c>
      <c r="K52" s="203">
        <f>+L348</f>
        <v>236.83396555322958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8" thickBot="1">
      <c r="A54" s="347"/>
      <c r="B54" s="164" t="s">
        <v>64</v>
      </c>
      <c r="C54" s="436">
        <f>Piramide(C42^2, (   C42 + 2*(C43)*TAN(RADIANS(       IF($C$13=$C$14,$C$8,$C$8*0.5)       ))   )^2, C43)
    -(C43)*C42^2</f>
        <v>20.49259005184453</v>
      </c>
      <c r="D54" s="201">
        <f t="shared" ref="D54:F54" si="15">Piramide(D42^2, (   D42 + 2*(D43)*TAN(RADIANS(       IF($C$13=$C$14,$C$8,$C$8*0.5)       ))   )^2, D43)
    -(D43)*D42^2</f>
        <v>20.49259005184453</v>
      </c>
      <c r="E54" s="201">
        <f t="shared" si="15"/>
        <v>20.49259005184453</v>
      </c>
      <c r="F54" s="201">
        <f t="shared" si="15"/>
        <v>20.49259005184453</v>
      </c>
      <c r="G54" s="20" t="s">
        <v>60</v>
      </c>
      <c r="H54" s="28"/>
      <c r="I54" s="100" t="s">
        <v>409</v>
      </c>
      <c r="J54" s="203">
        <f>+-C58+C60</f>
        <v>-51</v>
      </c>
    </row>
    <row r="55" spans="1:12">
      <c r="A55" s="183"/>
      <c r="B55" s="196" t="s">
        <v>65</v>
      </c>
      <c r="C55" s="353">
        <v>61</v>
      </c>
      <c r="D55" s="25">
        <f t="shared" ref="D55:F55" si="16">+D54*$C$13</f>
        <v>331.97995883988136</v>
      </c>
      <c r="E55" s="201">
        <f t="shared" si="16"/>
        <v>331.97995883988136</v>
      </c>
      <c r="F55" s="201">
        <f t="shared" si="16"/>
        <v>331.97995883988136</v>
      </c>
      <c r="G55" s="25" t="s">
        <v>41</v>
      </c>
      <c r="H55" s="28"/>
      <c r="I55" s="359" t="s">
        <v>410</v>
      </c>
      <c r="J55" s="203">
        <f>-0.5*C60</f>
        <v>-50</v>
      </c>
      <c r="K55" t="b">
        <f>+$J$54&lt;J55</f>
        <v>1</v>
      </c>
    </row>
    <row r="56" spans="1:12">
      <c r="A56" s="183"/>
      <c r="B56" s="196" t="s">
        <v>66</v>
      </c>
      <c r="C56" s="354">
        <v>60</v>
      </c>
      <c r="D56" s="20">
        <f t="shared" ref="D56:F56" si="17">+D50*$C$14</f>
        <v>232.0812</v>
      </c>
      <c r="E56" s="5">
        <f t="shared" si="17"/>
        <v>232.0812</v>
      </c>
      <c r="F56" s="5">
        <f t="shared" si="17"/>
        <v>232.0812</v>
      </c>
      <c r="G56" s="25" t="s">
        <v>41</v>
      </c>
      <c r="H56" s="28"/>
      <c r="I56" s="359" t="s">
        <v>411</v>
      </c>
      <c r="J56" s="203">
        <f>-2.5*C60</f>
        <v>-250</v>
      </c>
      <c r="K56" t="b">
        <f>+$J$54&lt;J56</f>
        <v>0</v>
      </c>
    </row>
    <row r="57" spans="1:12" ht="15.75" thickBot="1">
      <c r="A57" s="183"/>
      <c r="B57" s="196" t="s">
        <v>67</v>
      </c>
      <c r="C57" s="355">
        <v>30</v>
      </c>
      <c r="D57" s="20">
        <f t="shared" ref="D57:F57" si="18">+D49*$C$12</f>
        <v>70.895999999999987</v>
      </c>
      <c r="E57" s="5">
        <f t="shared" si="18"/>
        <v>70.895999999999987</v>
      </c>
      <c r="F57" s="5">
        <f t="shared" si="18"/>
        <v>70.895999999999987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352">
        <f>+C55+C56+C57</f>
        <v>151</v>
      </c>
      <c r="D58" s="231">
        <f t="shared" ref="D58:F58" si="19">+D55+D56+D57</f>
        <v>634.95715883988134</v>
      </c>
      <c r="E58" s="231">
        <f t="shared" si="19"/>
        <v>634.95715883988134</v>
      </c>
      <c r="F58" s="231">
        <f t="shared" si="19"/>
        <v>634.95715883988134</v>
      </c>
      <c r="G58" s="25" t="s">
        <v>41</v>
      </c>
      <c r="H58" s="28"/>
      <c r="I58" s="100"/>
      <c r="J58" s="203"/>
    </row>
    <row r="59" spans="1:12" ht="15.75" thickBot="1">
      <c r="A59" s="347"/>
      <c r="B59" s="196" t="s">
        <v>69</v>
      </c>
      <c r="C59" s="231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 ht="15.75" thickBot="1">
      <c r="A60" s="183"/>
      <c r="B60" s="192" t="s">
        <v>70</v>
      </c>
      <c r="C60" s="358">
        <v>100</v>
      </c>
      <c r="D60" s="356">
        <f t="shared" ref="D60:F60" si="20">+$H$23</f>
        <v>608.57399999999996</v>
      </c>
      <c r="E60" s="169">
        <f t="shared" si="20"/>
        <v>608.57399999999996</v>
      </c>
      <c r="F60" s="169">
        <f t="shared" si="20"/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357">
        <f>+C58/C60</f>
        <v>1.51</v>
      </c>
      <c r="D61" s="17">
        <f t="shared" ref="D61:F61" si="21">+D58/D60</f>
        <v>1.0433524252430788</v>
      </c>
      <c r="E61" s="17">
        <f t="shared" si="21"/>
        <v>1.0433524252430788</v>
      </c>
      <c r="F61" s="17">
        <f t="shared" si="21"/>
        <v>1.0433524252430788</v>
      </c>
      <c r="G61" s="191"/>
      <c r="H61" s="28"/>
      <c r="I61" s="162" t="s">
        <v>301</v>
      </c>
      <c r="J61" s="203">
        <f>+MIN(C61:F61)</f>
        <v>1.0433524252430788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OK</v>
      </c>
      <c r="D62" s="175" t="str">
        <f t="shared" ref="D62:F62" si="22">+IF(D61&gt;1.5,"OK","NO CUMPLE")</f>
        <v>NO CUMPLE</v>
      </c>
      <c r="E62" s="175" t="str">
        <f t="shared" si="22"/>
        <v>NO CUMPLE</v>
      </c>
      <c r="F62" s="175" t="str">
        <f t="shared" si="2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7" si="23">+D64^2*$C$10*D$39*$C$14/2</f>
        <v>35.333000000000006</v>
      </c>
      <c r="E66" s="5">
        <f t="shared" si="23"/>
        <v>35.333000000000006</v>
      </c>
      <c r="F66" s="5">
        <f t="shared" si="2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si="23"/>
        <v>30.876000000000008</v>
      </c>
      <c r="E67" s="5">
        <f t="shared" si="23"/>
        <v>30.876000000000008</v>
      </c>
      <c r="F67" s="5">
        <f t="shared" si="23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871.62079999999992</v>
      </c>
      <c r="D68" s="5">
        <f t="array" ref="D68">+MAX(ABS($E$22:$E$25))*(D43+D38)+MAX($C$22:$C$25)*D42/2</f>
        <v>836.28779999999995</v>
      </c>
      <c r="E68" s="5">
        <f t="array" ref="E68">+MAX(ABS($E$22:$E$25))*(E43+E38)+MAX($C$22:$C$25)*E42/2</f>
        <v>836.28779999999995</v>
      </c>
      <c r="F68" s="5">
        <f t="array" ref="F68">+MAX(ABS($E$22:$E$25))*(F43+F38)+MAX($C$22:$C$25)*F42/2</f>
        <v>836.28779999999995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853.79279999999994</v>
      </c>
      <c r="D69" s="5">
        <f t="array" ref="D69">MAX(ABS($D$22:$D$25))*(D43+D38)+ABS($C$23)*D42/2</f>
        <v>822.91679999999997</v>
      </c>
      <c r="E69" s="5">
        <f t="array" ref="E69">MAX(ABS($D$22:$D$25))*(E43+E38)+ABS($C$23)*E42/2</f>
        <v>822.91679999999997</v>
      </c>
      <c r="F69" s="5">
        <f t="array" ref="F69">MAX(ABS($D$22:$D$25))*(F43+F38)+ABS($C$23)*F42/2</f>
        <v>822.91679999999997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247.02996745134041</v>
      </c>
      <c r="D70" s="5">
        <f t="shared" ref="D70:F70" si="24">+(D58)*D42/2+D66*(D43-2/3*D64)</f>
        <v>827.77855805919796</v>
      </c>
      <c r="E70" s="5">
        <f t="shared" si="24"/>
        <v>827.77855805919796</v>
      </c>
      <c r="F70" s="5">
        <f t="shared" si="24"/>
        <v>827.77855805919796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241.01453066249383</v>
      </c>
      <c r="D71" s="5">
        <f t="shared" ref="D71:F71" si="25">+(D58)*D42/2+D67*(D43-2/3*D65)</f>
        <v>821.76312127035146</v>
      </c>
      <c r="E71" s="5">
        <f t="shared" si="25"/>
        <v>821.76312127035146</v>
      </c>
      <c r="F71" s="5">
        <f t="shared" si="25"/>
        <v>821.76312127035146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0.28228690926240402</v>
      </c>
      <c r="D72" s="17">
        <f t="shared" ref="D72:F72" si="26">+MIN(D70/D68,D71/D69)</f>
        <v>0.98982498376659089</v>
      </c>
      <c r="E72" s="17">
        <f t="shared" si="26"/>
        <v>0.98982498376659089</v>
      </c>
      <c r="F72" s="17">
        <f t="shared" si="26"/>
        <v>0.98982498376659089</v>
      </c>
      <c r="G72" s="193"/>
      <c r="H72" s="28"/>
      <c r="I72" s="100" t="s">
        <v>302</v>
      </c>
      <c r="J72" s="203">
        <f>+MIN(C72:F72)</f>
        <v>0.28228690926240402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27">+IF(D72&gt;1.5,"OK","NO CUMPLE")</f>
        <v>NO CUMPLE</v>
      </c>
      <c r="E73" s="175" t="str">
        <f t="shared" si="27"/>
        <v>NO CUMPLE</v>
      </c>
      <c r="F73" s="175" t="str">
        <f t="shared" si="27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818.57399999999996</v>
      </c>
      <c r="D75" s="5">
        <f t="shared" ref="D75:F75" si="28">D56+D57-MIN($H$22:$H$25)</f>
        <v>1031.5511999999999</v>
      </c>
      <c r="E75" s="5">
        <f t="shared" si="28"/>
        <v>1031.5511999999999</v>
      </c>
      <c r="F75" s="5">
        <f t="shared" si="28"/>
        <v>1031.5511999999999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472.60391925162867</v>
      </c>
      <c r="D78" s="5">
        <f t="shared" ref="D78:F78" si="29">+IF($D$5="GRANULAR",D75*TAN($C$7*PI()/180),$C$9*D42^2)</f>
        <v>595.56636300288142</v>
      </c>
      <c r="E78" s="5">
        <f t="shared" si="29"/>
        <v>595.56636300288142</v>
      </c>
      <c r="F78" s="5">
        <f t="shared" si="29"/>
        <v>595.56636300288142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212.77079999999989</v>
      </c>
      <c r="D79" s="5">
        <f t="shared" ref="D79:F79" si="30">1/2*D47*$C$13*D47*D39*$C$10
+1/2*(D47*$C$13+D43*$C$13)*D40*D42*$C$10</f>
        <v>212.77079999999989</v>
      </c>
      <c r="E79" s="5">
        <f t="shared" si="30"/>
        <v>212.77079999999989</v>
      </c>
      <c r="F79" s="5">
        <f t="shared" si="30"/>
        <v>212.77079999999989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23.641200000000005</v>
      </c>
      <c r="D80" s="5">
        <f t="shared" ref="D80:F80" si="31">1/2*D47*$C$13*D47*D39*$C$11
+1/2*(D47*$C$13+D43*$C$13)*D40*D42*$C$11</f>
        <v>23.641200000000005</v>
      </c>
      <c r="E80" s="5">
        <f t="shared" si="31"/>
        <v>23.641200000000005</v>
      </c>
      <c r="F80" s="5">
        <f t="shared" si="31"/>
        <v>23.641200000000005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632.18201925162862</v>
      </c>
      <c r="D81" s="5">
        <f t="shared" ref="D81:F81" si="32">+D78+D79*3/4</f>
        <v>755.14446300288137</v>
      </c>
      <c r="E81" s="5">
        <f t="shared" si="32"/>
        <v>755.14446300288137</v>
      </c>
      <c r="F81" s="5">
        <f t="shared" si="32"/>
        <v>755.14446300288137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17.892112734600193</v>
      </c>
      <c r="D82" s="248">
        <f t="shared" ref="D82:F82" si="33">+D81/ (  MAX(D76:D77)  )</f>
        <v>21.372214728522383</v>
      </c>
      <c r="E82" s="248">
        <f t="shared" si="33"/>
        <v>21.372214728522383</v>
      </c>
      <c r="F82" s="248">
        <f t="shared" si="33"/>
        <v>21.372214728522383</v>
      </c>
      <c r="G82" s="195"/>
      <c r="H82" s="28"/>
      <c r="I82" s="100" t="s">
        <v>303</v>
      </c>
      <c r="J82" s="203">
        <f>+MIN(C82:F82)</f>
        <v>17.892112734600193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34">+IF(D82&gt;D83,"OK","NO CUMPLE")</f>
        <v>OK</v>
      </c>
      <c r="E84" s="175" t="str">
        <f t="shared" si="34"/>
        <v>OK</v>
      </c>
      <c r="F84" s="175" t="str">
        <f t="shared" si="34"/>
        <v>OK</v>
      </c>
      <c r="G84" s="194"/>
      <c r="H84" s="28"/>
      <c r="I84" s="100"/>
      <c r="J84" s="203"/>
    </row>
    <row r="85" spans="1:12" ht="15.75" thickBot="1">
      <c r="A85" s="347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347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35">+IF($C$10=1,0,SQRT(2*ABS($G$22)/($C$14*$C$10*D$39)))</f>
        <v>1.3736497298244974</v>
      </c>
      <c r="E88" s="201">
        <f t="shared" si="35"/>
        <v>1.3736497298244974</v>
      </c>
      <c r="F88" s="201">
        <f t="shared" si="35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36">+C88^2*$C$10*C$39*$C$14/2</f>
        <v>22.926000000000002</v>
      </c>
      <c r="D90" s="201">
        <f t="shared" si="36"/>
        <v>22.926000000000002</v>
      </c>
      <c r="E90" s="201">
        <f t="shared" si="36"/>
        <v>22.926000000000002</v>
      </c>
      <c r="F90" s="201">
        <f t="shared" si="36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36"/>
        <v>12.011000000000001</v>
      </c>
      <c r="D91" s="201">
        <f t="shared" si="36"/>
        <v>12.011000000000001</v>
      </c>
      <c r="E91" s="201">
        <f t="shared" si="36"/>
        <v>12.011000000000001</v>
      </c>
      <c r="F91" s="201">
        <f t="shared" si="36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91.703999999999994</v>
      </c>
      <c r="D92" s="201">
        <f>+($G$22)*(D$43+D$38)+ IF(   $H$22&gt;0, $H$22,0   )*D$42/2</f>
        <v>68.777999999999992</v>
      </c>
      <c r="E92" s="201">
        <f>+($G$22)*(E$43+E$38)+ IF(   $H$22&gt;0, $H$22,0   )*E$42/2</f>
        <v>68.777999999999992</v>
      </c>
      <c r="F92" s="201">
        <f>+($G$22)*(F$43+F$38)+ IF(   $H$22&gt;0, $H$22,0   )*F$42/2</f>
        <v>68.777999999999992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48.043999999999997</v>
      </c>
      <c r="D93" s="201">
        <f>+($F$22)*(D$43+D$38)+ IF(   $H$22&gt;0, $H$22,0   )*D$42/2</f>
        <v>36.033000000000001</v>
      </c>
      <c r="E93" s="201">
        <f>+($F$22)*(E$43+E$38)+ IF(   $H$22&gt;0, $H$22,0   )*E$42/2</f>
        <v>36.033000000000001</v>
      </c>
      <c r="F93" s="201">
        <f>+($F$22)*(F$43+F$38)+ IF(   $H$22&gt;0, $H$22,0   )*F$42/2</f>
        <v>36.033000000000001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1030.0719375293622</v>
      </c>
      <c r="D94" s="201">
        <f>+(D$56+D$57+  IF(   $H$22&gt;0, 0, -$H$22   )  )*D$42/2 + D90*(D$43-2/3*D88)</f>
        <v>1285.6445775293623</v>
      </c>
      <c r="E94" s="201">
        <f>+(E$56+E$57+  IF(   $H$22&gt;0, 0, -$H$22   )  )*E$42/2 + E90*(E$43-2/3*E88)</f>
        <v>1285.6445775293623</v>
      </c>
      <c r="F94" s="201">
        <f>+(F$56+F$57+  IF(   $H$22&gt;0, 0, -$H$22   )  )*F$42/2 + F90*(F$43-2/3*F88)</f>
        <v>1285.6445775293623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1010.360401687269</v>
      </c>
      <c r="D95" s="201">
        <f>+(D$56+D$57+   IF(   $H$22&gt;0, 0, -$H$22   )    )*D$42/2+D91*(D$43-2/3*D89)</f>
        <v>1265.933041687269</v>
      </c>
      <c r="E95" s="201">
        <f>+(E$56+E$57+   IF(   $H$22&gt;0, 0, -$H$22   )    )*E$42/2+E91*(E$43-2/3*E89)</f>
        <v>1265.933041687269</v>
      </c>
      <c r="F95" s="201">
        <f>+(F$56+F$57+   IF(   $H$22&gt;0, 0, -$H$22   )    )*F$42/2+F91*(F$43-2/3*F89)</f>
        <v>1265.933041687269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19.972398312730892</v>
      </c>
      <c r="D96" s="201">
        <f>+D99*D98</f>
        <v>7.9613983127308154</v>
      </c>
      <c r="E96" s="201">
        <f>+E99*E98</f>
        <v>7.9613983127308154</v>
      </c>
      <c r="F96" s="201">
        <f>+F99*F98</f>
        <v>7.9613983127308154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43.920862470637694</v>
      </c>
      <c r="D97" s="201">
        <f>+D100*D98</f>
        <v>20.994862470637518</v>
      </c>
      <c r="E97" s="201">
        <f>+E100*E98</f>
        <v>20.994862470637518</v>
      </c>
      <c r="F97" s="201">
        <f>+F100*F98</f>
        <v>20.994862470637518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818.57399999999996</v>
      </c>
      <c r="D98" s="202">
        <f>+D$56+D$57+  IF(   $H$22&gt;0, -$H$22, -$H$22   )</f>
        <v>1031.5511999999999</v>
      </c>
      <c r="E98" s="202">
        <f>+E$56+E$57+  IF(   $H$22&gt;0, -$H$22, -$H$22   )</f>
        <v>1031.5511999999999</v>
      </c>
      <c r="F98" s="202">
        <f>+F$56+F$57+  IF(   $H$22&gt;0, -$H$22, -$H$22   )</f>
        <v>1031.5511999999999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2.439901378828413E-2</v>
      </c>
      <c r="D99" s="202">
        <f>+ABS(D$42/2-(D95-D93)/D98)</f>
        <v>7.7178896333316427E-3</v>
      </c>
      <c r="E99" s="202">
        <f>+ABS(E$42/2-(E95-E93)/E98)</f>
        <v>7.7178896333316427E-3</v>
      </c>
      <c r="F99" s="202">
        <f>+ABS(F$42/2-(F95-F93)/F98)</f>
        <v>7.7178896333316427E-3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5.3655335340039745E-2</v>
      </c>
      <c r="D100" s="202">
        <f>+ABS(D$42/2-(D94-D92)/D98)</f>
        <v>2.0352710045451472E-2</v>
      </c>
      <c r="E100" s="202">
        <f>+ABS(E$42/2-(E94-E92)/E98)</f>
        <v>2.0352710045451472E-2</v>
      </c>
      <c r="F100" s="202">
        <f>+ABS(F$42/2-(F94-F92)/F98)</f>
        <v>2.0352710045451472E-2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0.39999999999999997</v>
      </c>
      <c r="D101" s="201">
        <f>+D$42/6</f>
        <v>0.39999999999999997</v>
      </c>
      <c r="E101" s="201">
        <f>+E$42/6</f>
        <v>0.39999999999999997</v>
      </c>
      <c r="F101" s="201">
        <f>+F$42/6</f>
        <v>0.39999999999999997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169.84499165944817</v>
      </c>
      <c r="D103" s="17">
        <f>+(D98/D$42^2)*(1+6*D99/D$42+6*D100/D$42)</f>
        <v>191.6565715205592</v>
      </c>
      <c r="E103" s="17">
        <f>+(E98/E$42^2)*(1+6*E99/E$42+6*E100/E$42)</f>
        <v>191.6565715205592</v>
      </c>
      <c r="F103" s="17">
        <f>+(F98/F$42^2)*(1+6*F99/F$42+6*F100/F$42)</f>
        <v>191.6565715205592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131.71924298701961</v>
      </c>
      <c r="D104" s="5">
        <f>+(D98/D$42^2)*(1+6*D99/D$42-6*D100/D$42)</f>
        <v>173.43186451479744</v>
      </c>
      <c r="E104" s="5">
        <f>+(E98/E$42^2)*(1+6*E99/E$42-6*E100/E$42)</f>
        <v>173.43186451479744</v>
      </c>
      <c r="F104" s="5">
        <f>+(F98/F$42^2)*(1+6*F99/F$42-6*F100/F$42)</f>
        <v>173.43186451479744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152.50784034631371</v>
      </c>
      <c r="D105" s="5">
        <f>+(D98/D$42^2)*(1-6*D99/D$42+6*D100/D$42)</f>
        <v>184.74563548520254</v>
      </c>
      <c r="E105" s="5">
        <f>+(E98/E$42^2)*(1-6*E99/E$42+6*E100/E$42)</f>
        <v>184.74563548520254</v>
      </c>
      <c r="F105" s="5">
        <f>+(F98/F$42^2)*(1-6*F99/F$42+6*F100/F$42)</f>
        <v>184.74563548520254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114.38209167388516</v>
      </c>
      <c r="D106" s="5">
        <f>+(D98/D$42^2)*(1-6*D99/D$42-6*D100/D$42)</f>
        <v>166.52092847944081</v>
      </c>
      <c r="E106" s="5">
        <f>+(E98/E$42^2)*(1-6*E99/E$42-6*E100/E$42)</f>
        <v>166.52092847944081</v>
      </c>
      <c r="F106" s="5">
        <f>+(F98/F$42^2)*(1-6*F99/F$42-6*F100/F$42)</f>
        <v>166.52092847944081</v>
      </c>
      <c r="G106" s="18" t="s">
        <v>13</v>
      </c>
      <c r="H106" s="28"/>
      <c r="I106" s="100" t="s">
        <v>304</v>
      </c>
      <c r="J106" s="203">
        <f>+MAX(C103:F106)</f>
        <v>191.6565715205592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37">+IF(D103&lt;D107,"OK","NO CUMPLE")</f>
        <v>NO CUMPLE</v>
      </c>
      <c r="E108" s="175" t="str">
        <f t="shared" si="37"/>
        <v>NO CUMPLE</v>
      </c>
      <c r="F108" s="175" t="str">
        <f t="shared" si="37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38">+IF($C$10=1,0,SQRT(2*ABS($G$23)/($C$14*$C$10*D$39)))</f>
        <v>0.85003025847861358</v>
      </c>
      <c r="E110" s="201">
        <f t="shared" si="38"/>
        <v>0.85003025847861358</v>
      </c>
      <c r="F110" s="201">
        <f t="shared" si="38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39">+IF($C$10=1,0,SQRT(2*ABS($F$23)/($C$14*$C$10*D$39)))</f>
        <v>1.1188986354351327</v>
      </c>
      <c r="E111" s="201">
        <f t="shared" si="39"/>
        <v>1.1188986354351327</v>
      </c>
      <c r="F111" s="201">
        <f t="shared" si="39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3" si="40">+D110^2*$C$10*D$39*$C$14/2</f>
        <v>8.7789999999999999</v>
      </c>
      <c r="E112" s="201">
        <f t="shared" si="40"/>
        <v>8.7789999999999999</v>
      </c>
      <c r="F112" s="201">
        <f t="shared" si="40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si="40"/>
        <v>15.211000000000004</v>
      </c>
      <c r="E113" s="201">
        <f t="shared" si="40"/>
        <v>15.211000000000004</v>
      </c>
      <c r="F113" s="201">
        <f t="shared" si="40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765.40479999999991</v>
      </c>
      <c r="D114" s="201">
        <f t="shared" ref="D114:F114" si="41">+($G$23)*(D$43+D$38)+ IF(   $H$23&gt;0, $H$23,0   )*D$42/2</f>
        <v>756.62579999999991</v>
      </c>
      <c r="E114" s="201">
        <f t="shared" si="41"/>
        <v>756.62579999999991</v>
      </c>
      <c r="F114" s="201">
        <f t="shared" si="41"/>
        <v>756.62579999999991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791.13279999999997</v>
      </c>
      <c r="D115" s="201">
        <f t="shared" ref="D115:F115" si="42">+($F$23)*(D$43+D$38)+ IF(   $H$23&gt;0, $H$23,0   )*D$42/2</f>
        <v>775.92179999999996</v>
      </c>
      <c r="E115" s="201">
        <f t="shared" si="42"/>
        <v>775.92179999999996</v>
      </c>
      <c r="F115" s="201">
        <f t="shared" si="42"/>
        <v>775.92179999999996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202.56205624054417</v>
      </c>
      <c r="D116" s="201">
        <f t="shared" ref="D116:F116" si="43">+(D$56+D$57+  IF(   $H$23&gt;0, +D$55, -$H$23   )  )*D$42/2 + D112*(D$43-2/3*D110)</f>
        <v>783.31064684840169</v>
      </c>
      <c r="E116" s="201">
        <f t="shared" si="43"/>
        <v>783.31064684840169</v>
      </c>
      <c r="F116" s="201">
        <f t="shared" si="43"/>
        <v>783.31064684840169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200.98845925300998</v>
      </c>
      <c r="D117" s="201">
        <f t="shared" ref="D117:F117" si="44">+(D$56+D$57+   IF(   $H$23&gt;0, +D$55, -$H$23   )    )*D$42/2+D113*(D$43-2/3*D111)</f>
        <v>796.23521251212173</v>
      </c>
      <c r="E117" s="201">
        <f t="shared" si="44"/>
        <v>796.23521251212173</v>
      </c>
      <c r="F117" s="201">
        <f t="shared" si="44"/>
        <v>796.23521251212173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-41.055540746990047</v>
      </c>
      <c r="D118" s="201">
        <f t="shared" ref="D118:F118" si="45">+D121*D120</f>
        <v>11.346378095735892</v>
      </c>
      <c r="E118" s="201">
        <f t="shared" si="45"/>
        <v>11.346378095735892</v>
      </c>
      <c r="F118" s="201">
        <f t="shared" si="45"/>
        <v>11.346378095735892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-13.753943759455767</v>
      </c>
      <c r="D119" s="201">
        <f t="shared" ref="D119:F119" si="46">+D122*D120</f>
        <v>4.9749437594558898</v>
      </c>
      <c r="E119" s="201">
        <f t="shared" si="46"/>
        <v>4.9749437594558898</v>
      </c>
      <c r="F119" s="201">
        <f t="shared" si="46"/>
        <v>4.9749437594558898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-457.57399999999996</v>
      </c>
      <c r="D120" s="202">
        <f t="shared" ref="D120:F120" si="47">+D$56+D$57+  IF(   $H$23&gt;0, -$H$23+D$55, -$H$23   )</f>
        <v>26.383158839881389</v>
      </c>
      <c r="E120" s="202">
        <f t="shared" si="47"/>
        <v>26.383158839881389</v>
      </c>
      <c r="F120" s="202">
        <f t="shared" si="47"/>
        <v>26.383158839881389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8.9724374083733016E-2</v>
      </c>
      <c r="D121" s="202">
        <f t="shared" ref="D121:F121" si="48">+ABS(D$42/2-(D117-D115)/D120)</f>
        <v>0.43006139502084362</v>
      </c>
      <c r="E121" s="202">
        <f t="shared" si="48"/>
        <v>0.43006139502084362</v>
      </c>
      <c r="F121" s="202">
        <f t="shared" si="48"/>
        <v>0.43006139502084362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3.0058403142345869E-2</v>
      </c>
      <c r="D122" s="202">
        <f t="shared" ref="D122:F122" si="49">+ABS(D$42/2-(D116-D114)/D120)</f>
        <v>0.18856512935576353</v>
      </c>
      <c r="E122" s="202">
        <f t="shared" si="49"/>
        <v>0.18856512935576353</v>
      </c>
      <c r="F122" s="202">
        <f t="shared" si="49"/>
        <v>0.18856512935576353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0.39999999999999997</v>
      </c>
      <c r="D123" s="201">
        <f t="shared" ref="D123:F123" si="50">+D$42/6</f>
        <v>0.39999999999999997</v>
      </c>
      <c r="E123" s="201">
        <f t="shared" si="50"/>
        <v>0.39999999999999997</v>
      </c>
      <c r="F123" s="201">
        <f t="shared" si="50"/>
        <v>0.39999999999999997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-103.22876931703377</v>
      </c>
      <c r="D125" s="17">
        <f t="shared" ref="D125:F125" si="51">+(D120/D$42^2)*(1+6*D121/D$42+6*D122/D$42)</f>
        <v>11.66431657601751</v>
      </c>
      <c r="E125" s="17">
        <f t="shared" si="51"/>
        <v>11.66431657601751</v>
      </c>
      <c r="F125" s="17">
        <f t="shared" si="51"/>
        <v>11.66431657601751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-91.289582025839536</v>
      </c>
      <c r="D126" s="5">
        <f t="shared" ref="D126:F126" si="52">+(D120/D$42^2)*(1+6*D121/D$42-6*D122/D$42)</f>
        <v>7.3457890070453828</v>
      </c>
      <c r="E126" s="5">
        <f t="shared" si="52"/>
        <v>7.3457890070453828</v>
      </c>
      <c r="F126" s="5">
        <f t="shared" si="52"/>
        <v>7.3457890070453828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-67.590279085271575</v>
      </c>
      <c r="D127" s="5">
        <f t="shared" ref="D127:F127" si="53">+(D120/D$42^2)*(1-6*D121/D$42+6*D122/D$42)</f>
        <v>1.8150300345801011</v>
      </c>
      <c r="E127" s="5">
        <f t="shared" si="53"/>
        <v>1.8150300345801011</v>
      </c>
      <c r="F127" s="5">
        <f t="shared" si="53"/>
        <v>1.8150300345801011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-55.651091794077331</v>
      </c>
      <c r="D128" s="5">
        <f t="shared" ref="D128:F128" si="54">+(D120/D$42^2)*(1-6*D121/D$42-6*D122/D$42)</f>
        <v>-2.5034975343920265</v>
      </c>
      <c r="E128" s="5">
        <f t="shared" si="54"/>
        <v>-2.5034975343920265</v>
      </c>
      <c r="F128" s="5">
        <f t="shared" si="54"/>
        <v>-2.5034975343920265</v>
      </c>
      <c r="G128" s="18" t="s">
        <v>13</v>
      </c>
      <c r="H128" s="28"/>
      <c r="I128" s="100" t="s">
        <v>304</v>
      </c>
      <c r="J128" s="203">
        <f>+MAX(C125:F128)</f>
        <v>11.66431657601751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 t="shared" ref="D129:F129" si="55">+$C$6</f>
        <v>100</v>
      </c>
      <c r="E129" s="17">
        <f t="shared" si="55"/>
        <v>100</v>
      </c>
      <c r="F129" s="17">
        <f t="shared" si="55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56">+IF(D125&lt;D129,"OK","NO CUMPLE")</f>
        <v>OK</v>
      </c>
      <c r="E130" s="175" t="str">
        <f t="shared" si="56"/>
        <v>OK</v>
      </c>
      <c r="F130" s="175" t="str">
        <f t="shared" si="56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57">+IF($C$10=1,0,SQRT(2*ABS($G$24)/($C$14*$C$10*D$39)))</f>
        <v>1.2636416119520564</v>
      </c>
      <c r="E132" s="201">
        <f t="shared" si="57"/>
        <v>1.2636416119520564</v>
      </c>
      <c r="F132" s="201">
        <f t="shared" si="57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58">+IF($C$10=1,0,SQRT(2*ABS($F$24)/($C$14*$C$10*D$39)))</f>
        <v>1.5941250163965299</v>
      </c>
      <c r="E133" s="201">
        <f t="shared" si="58"/>
        <v>1.5941250163965299</v>
      </c>
      <c r="F133" s="201">
        <f t="shared" si="58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5" si="59">+D132^2*$C$10*D$39*$C$14/2</f>
        <v>19.401000000000003</v>
      </c>
      <c r="E134" s="201">
        <f t="shared" si="59"/>
        <v>19.401000000000003</v>
      </c>
      <c r="F134" s="201">
        <f t="shared" si="59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si="59"/>
        <v>30.876000000000008</v>
      </c>
      <c r="E135" s="201">
        <f t="shared" si="59"/>
        <v>30.876000000000008</v>
      </c>
      <c r="F135" s="201">
        <f t="shared" si="59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77.603999999999999</v>
      </c>
      <c r="D136" s="201">
        <f t="shared" ref="D136:F136" si="60">+($G$24)*(D$43+D$38)+ IF(   $H$24&gt;0, $H$24,0   )*D$42/2</f>
        <v>58.203000000000003</v>
      </c>
      <c r="E136" s="201">
        <f t="shared" si="60"/>
        <v>58.203000000000003</v>
      </c>
      <c r="F136" s="201">
        <f t="shared" si="60"/>
        <v>58.203000000000003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123.504</v>
      </c>
      <c r="D137" s="201">
        <f t="shared" ref="D137:F137" si="61">+($F$24)*(D$43+D$38)+ IF(   $H$24&gt;0, $H$24,0   )*D$42/2</f>
        <v>92.628</v>
      </c>
      <c r="E137" s="201">
        <f t="shared" si="61"/>
        <v>92.628</v>
      </c>
      <c r="F137" s="201">
        <f t="shared" si="61"/>
        <v>92.628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295.83185939101213</v>
      </c>
      <c r="D138" s="201">
        <f t="shared" ref="D138:F138" si="62">+(D$56+D$57+  IF(   $H$24&gt;0, +D$55, -$H$24   )  )*D$42/2 + D134*(D$43-2/3*D132)</f>
        <v>551.40449939101211</v>
      </c>
      <c r="E138" s="201">
        <f t="shared" si="62"/>
        <v>551.40449939101211</v>
      </c>
      <c r="F138" s="201">
        <f t="shared" si="62"/>
        <v>551.40449939101211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313.78733066249384</v>
      </c>
      <c r="D139" s="201">
        <f t="shared" ref="D139:F139" si="63">+(D$56+D$57+   IF(   $H$24&gt;0, +D$55, -$H$24   )    )*D$42/2+D135*(D$43-2/3*D133)</f>
        <v>569.35997066249388</v>
      </c>
      <c r="E139" s="201">
        <f t="shared" si="63"/>
        <v>569.35997066249388</v>
      </c>
      <c r="F139" s="201">
        <f t="shared" si="63"/>
        <v>569.35997066249388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63.689469337506182</v>
      </c>
      <c r="D140" s="201">
        <f t="shared" ref="D140:F140" si="64">+D143*D142</f>
        <v>32.813469337506064</v>
      </c>
      <c r="E140" s="201">
        <f t="shared" si="64"/>
        <v>32.813469337506064</v>
      </c>
      <c r="F140" s="201">
        <f t="shared" si="64"/>
        <v>32.813469337506064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35.744940608987861</v>
      </c>
      <c r="D141" s="201">
        <f t="shared" ref="D141:F141" si="65">+D144*D142</f>
        <v>16.343940608987847</v>
      </c>
      <c r="E141" s="201">
        <f t="shared" si="65"/>
        <v>16.343940608987847</v>
      </c>
      <c r="F141" s="201">
        <f t="shared" si="65"/>
        <v>16.343940608987847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211.64400000000001</v>
      </c>
      <c r="D142" s="202">
        <f t="shared" ref="D142:F142" si="66">+D$56+D$57+  IF(   $H$24&gt;0, -$H$24+D$55, -$H$24   )</f>
        <v>424.62119999999999</v>
      </c>
      <c r="E142" s="202">
        <f t="shared" si="66"/>
        <v>424.62119999999999</v>
      </c>
      <c r="F142" s="202">
        <f t="shared" si="66"/>
        <v>424.62119999999999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0.30092735602004395</v>
      </c>
      <c r="D143" s="202">
        <f t="shared" ref="D143:F143" si="67">+ABS(D$42/2-(D139-D137)/D142)</f>
        <v>7.7277039718002927E-2</v>
      </c>
      <c r="E143" s="202">
        <f t="shared" si="67"/>
        <v>7.7277039718002927E-2</v>
      </c>
      <c r="F143" s="202">
        <f t="shared" si="67"/>
        <v>7.7277039718002927E-2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0.16889182121386792</v>
      </c>
      <c r="D144" s="202">
        <f t="shared" ref="D144:F144" si="68">+ABS(D$42/2-(D138-D136)/D142)</f>
        <v>3.8490637323308041E-2</v>
      </c>
      <c r="E144" s="202">
        <f t="shared" si="68"/>
        <v>3.8490637323308041E-2</v>
      </c>
      <c r="F144" s="202">
        <f t="shared" si="68"/>
        <v>3.8490637323308041E-2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0.39999999999999997</v>
      </c>
      <c r="D145" s="201">
        <f t="shared" ref="D145:F145" si="69">+D$42/6</f>
        <v>0.39999999999999997</v>
      </c>
      <c r="E145" s="201">
        <f t="shared" si="69"/>
        <v>0.39999999999999997</v>
      </c>
      <c r="F145" s="201">
        <f t="shared" si="69"/>
        <v>0.39999999999999997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79.901045983721389</v>
      </c>
      <c r="D147" s="17">
        <f t="shared" ref="D147:F147" si="70">+(D142/D$42^2)*(1+6*D143/D$42+6*D144/D$42)</f>
        <v>95.054639733721316</v>
      </c>
      <c r="E147" s="17">
        <f t="shared" si="70"/>
        <v>95.054639733721316</v>
      </c>
      <c r="F147" s="17">
        <f t="shared" si="70"/>
        <v>95.054639733721316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48.872451705086078</v>
      </c>
      <c r="D148" s="5">
        <f t="shared" ref="D148:F148" si="71">+(D142/D$42^2)*(1+6*D143/D$42-6*D144/D$42)</f>
        <v>80.867191288419349</v>
      </c>
      <c r="E148" s="5">
        <f t="shared" si="71"/>
        <v>80.867191288419349</v>
      </c>
      <c r="F148" s="5">
        <f t="shared" si="71"/>
        <v>80.867191288419349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24.615048294913926</v>
      </c>
      <c r="D149" s="5">
        <f t="shared" ref="D149:F149" si="72">+(D142/D$42^2)*(1-6*D143/D$42+6*D144/D$42)</f>
        <v>66.570725378247303</v>
      </c>
      <c r="E149" s="5">
        <f t="shared" si="72"/>
        <v>66.570725378247303</v>
      </c>
      <c r="F149" s="5">
        <f t="shared" si="72"/>
        <v>66.570725378247303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-6.4135459837213755</v>
      </c>
      <c r="D150" s="5">
        <f t="shared" ref="D150:F150" si="73">+(D142/D$42^2)*(1-6*D143/D$42-6*D144/D$42)</f>
        <v>52.38327693294535</v>
      </c>
      <c r="E150" s="5">
        <f t="shared" si="73"/>
        <v>52.38327693294535</v>
      </c>
      <c r="F150" s="5">
        <f t="shared" si="73"/>
        <v>52.38327693294535</v>
      </c>
      <c r="G150" s="18" t="s">
        <v>13</v>
      </c>
      <c r="H150" s="28"/>
      <c r="I150" s="100" t="s">
        <v>304</v>
      </c>
      <c r="J150" s="203">
        <f>+MAX(C147:F150)</f>
        <v>95.054639733721316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 t="shared" ref="D151:F151" si="74">+$C$6</f>
        <v>100</v>
      </c>
      <c r="E151" s="17">
        <f t="shared" si="74"/>
        <v>100</v>
      </c>
      <c r="F151" s="17">
        <f t="shared" si="74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75">+IF(D147&lt;D151,"OK","NO CUMPLE")</f>
        <v>OK</v>
      </c>
      <c r="E152" s="175" t="str">
        <f t="shared" si="75"/>
        <v>OK</v>
      </c>
      <c r="F152" s="175" t="str">
        <f t="shared" si="75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76">+IF($C$10=1,0,SQRT(2*ABS($G$25)/($C$14*$C$10*D$39)))</f>
        <v>1.7053052054167317</v>
      </c>
      <c r="E154" s="201">
        <f t="shared" si="76"/>
        <v>1.7053052054167317</v>
      </c>
      <c r="F154" s="201">
        <f t="shared" si="76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77">+IF($C$10=1,0,SQRT(2*ABS($F$25)/($C$14*$C$10*D$39)))</f>
        <v>0.77724849715998101</v>
      </c>
      <c r="E155" s="201">
        <f t="shared" si="77"/>
        <v>0.77724849715998101</v>
      </c>
      <c r="F155" s="201">
        <f t="shared" si="77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7" si="78">+D154^2*$C$10*D$39*$C$14/2</f>
        <v>35.333000000000006</v>
      </c>
      <c r="E156" s="201">
        <f t="shared" si="78"/>
        <v>35.333000000000006</v>
      </c>
      <c r="F156" s="201">
        <f t="shared" si="78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si="78"/>
        <v>7.34</v>
      </c>
      <c r="E157" s="201">
        <f t="shared" si="78"/>
        <v>7.34</v>
      </c>
      <c r="F157" s="201">
        <f t="shared" si="78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141.33199999999999</v>
      </c>
      <c r="D158" s="201">
        <f t="shared" ref="D158:F158" si="79">+($G$25)*(D$43+D$38)+ IF(   $H$25&gt;0, $H$25,0   )*D$42/2</f>
        <v>105.999</v>
      </c>
      <c r="E158" s="201">
        <f t="shared" si="79"/>
        <v>105.999</v>
      </c>
      <c r="F158" s="201">
        <f t="shared" si="79"/>
        <v>105.999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29.36</v>
      </c>
      <c r="D159" s="201">
        <f t="shared" ref="D159:F159" si="80">+($F$25)*(D$43+D$38)+ IF(   $H$25&gt;0, $H$25,0   )*D$42/2</f>
        <v>22.02</v>
      </c>
      <c r="E159" s="201">
        <f t="shared" si="80"/>
        <v>22.02</v>
      </c>
      <c r="F159" s="201">
        <f t="shared" si="80"/>
        <v>22.02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991.43916745134038</v>
      </c>
      <c r="D160" s="201">
        <f t="shared" ref="D160:F160" si="81">+(D$56+D$57+  IF(   $H$25&gt;0,+D$55, -$H$25   )  )*D$42/2 + D156*(D$43-2/3*D154)</f>
        <v>1247.0118074513405</v>
      </c>
      <c r="E160" s="201">
        <f t="shared" si="81"/>
        <v>1247.0118074513405</v>
      </c>
      <c r="F160" s="201">
        <f t="shared" si="81"/>
        <v>1247.0118074513405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943.82586402056381</v>
      </c>
      <c r="D161" s="201">
        <f t="shared" ref="D161:F161" si="82">+(D$56+D$57+   IF(   $H$25&gt;0, +D$55, -$H$25   )    )*D$42/2+D157*(D$43-2/3*D155)</f>
        <v>1199.3985040205639</v>
      </c>
      <c r="E161" s="201">
        <f t="shared" si="82"/>
        <v>1199.3985040205639</v>
      </c>
      <c r="F161" s="201">
        <f t="shared" si="82"/>
        <v>1199.3985040205639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11.143335979436106</v>
      </c>
      <c r="D162" s="201">
        <f t="shared" ref="D162:F162" si="83">+D165*D164</f>
        <v>3.80333597943594</v>
      </c>
      <c r="E162" s="201">
        <f t="shared" si="83"/>
        <v>3.80333597943594</v>
      </c>
      <c r="F162" s="201">
        <f t="shared" si="83"/>
        <v>3.80333597943594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75.502032548659614</v>
      </c>
      <c r="D163" s="201">
        <f t="shared" ref="D163:F163" si="84">+D166*D164</f>
        <v>40.169032548659423</v>
      </c>
      <c r="E163" s="201">
        <f t="shared" si="84"/>
        <v>40.169032548659423</v>
      </c>
      <c r="F163" s="201">
        <f t="shared" si="84"/>
        <v>40.169032548659423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771.34100000000001</v>
      </c>
      <c r="D164" s="202">
        <f t="shared" ref="D164:F164" si="85">+D$56+D$57+  IF(   $H$25&gt;0, -$H$25+D$55, -$H$25   )</f>
        <v>984.31819999999993</v>
      </c>
      <c r="E164" s="202">
        <f t="shared" si="85"/>
        <v>984.31819999999993</v>
      </c>
      <c r="F164" s="202">
        <f t="shared" si="85"/>
        <v>984.31819999999993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1.4446705127091786E-2</v>
      </c>
      <c r="D165" s="202">
        <f t="shared" ref="D165:F165" si="86">+ABS(D$42/2-(D161-D159)/D164)</f>
        <v>3.8639293466644631E-3</v>
      </c>
      <c r="E165" s="202">
        <f t="shared" si="86"/>
        <v>3.8639293466644631E-3</v>
      </c>
      <c r="F165" s="202">
        <f t="shared" si="86"/>
        <v>3.8639293466644631E-3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9.7884116815597277E-2</v>
      </c>
      <c r="D166" s="202">
        <f t="shared" ref="D166:F166" si="87">+ABS(D$42/2-(D160-D158)/D164)</f>
        <v>4.0808990983463911E-2</v>
      </c>
      <c r="E166" s="202">
        <f t="shared" si="87"/>
        <v>4.0808990983463911E-2</v>
      </c>
      <c r="F166" s="202">
        <f t="shared" si="87"/>
        <v>4.0808990983463911E-2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0.39999999999999997</v>
      </c>
      <c r="D167" s="201">
        <f t="shared" ref="D167:F167" si="88">+D$42/6</f>
        <v>0.39999999999999997</v>
      </c>
      <c r="E167" s="201">
        <f t="shared" si="88"/>
        <v>0.39999999999999997</v>
      </c>
      <c r="F167" s="201">
        <f t="shared" si="88"/>
        <v>0.39999999999999997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171.51986481254156</v>
      </c>
      <c r="D169" s="17">
        <f t="shared" ref="D169:F169" si="89">+(D164/D$42^2)*(1+6*D165/D$42+6*D166/D$42)</f>
        <v>189.97380578476361</v>
      </c>
      <c r="E169" s="17">
        <f t="shared" si="89"/>
        <v>189.97380578476361</v>
      </c>
      <c r="F169" s="17">
        <f t="shared" si="89"/>
        <v>189.97380578476361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105.97990600294119</v>
      </c>
      <c r="D170" s="5">
        <f t="shared" ref="D170:F170" si="90">+(D164/D$42^2)*(1+6*D165/D$42-6*D166/D$42)</f>
        <v>155.10485391960785</v>
      </c>
      <c r="E170" s="5">
        <f t="shared" si="90"/>
        <v>155.10485391960785</v>
      </c>
      <c r="F170" s="5">
        <f t="shared" si="90"/>
        <v>155.10485391960785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161.84683010816994</v>
      </c>
      <c r="D171" s="5">
        <f t="shared" ref="D171:F171" si="91">+(D164/D$42^2)*(1-6*D165/D$42+6*D166/D$42)</f>
        <v>186.67229885816991</v>
      </c>
      <c r="E171" s="5">
        <f t="shared" si="91"/>
        <v>186.67229885816991</v>
      </c>
      <c r="F171" s="5">
        <f t="shared" si="91"/>
        <v>186.67229885816991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96.306871298569575</v>
      </c>
      <c r="D172" s="5">
        <f t="shared" ref="D172:F172" si="92">+(D164/D$42^2)*(1-6*D165/D$42-6*D166/D$42)</f>
        <v>151.80334699301415</v>
      </c>
      <c r="E172" s="5">
        <f t="shared" si="92"/>
        <v>151.80334699301415</v>
      </c>
      <c r="F172" s="5">
        <f t="shared" si="92"/>
        <v>151.80334699301415</v>
      </c>
      <c r="G172" s="18" t="s">
        <v>13</v>
      </c>
      <c r="H172" s="28"/>
      <c r="I172" s="100" t="s">
        <v>304</v>
      </c>
      <c r="J172" s="203">
        <f>+MAX(C169:F172)</f>
        <v>189.97380578476361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 t="shared" ref="D173:F173" si="93">+$C$6</f>
        <v>100</v>
      </c>
      <c r="E173" s="17">
        <f t="shared" si="93"/>
        <v>100</v>
      </c>
      <c r="F173" s="17">
        <f t="shared" si="93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94">+IF(D169&lt;D173,"OK","NO CUMPLE")</f>
        <v>NO CUMPLE</v>
      </c>
      <c r="E174" s="175" t="str">
        <f t="shared" si="94"/>
        <v>NO CUMPLE</v>
      </c>
      <c r="F174" s="175" t="str">
        <f t="shared" si="94"/>
        <v>NO CUMPLE</v>
      </c>
      <c r="H174" s="28"/>
      <c r="I174" s="100"/>
      <c r="J174" s="203"/>
      <c r="N174" s="4" t="s">
        <v>330</v>
      </c>
    </row>
    <row r="175" spans="1:14" ht="15.75" thickBot="1">
      <c r="A175" s="347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191.6565715205592</v>
      </c>
      <c r="K176" s="4"/>
      <c r="L176" s="4"/>
    </row>
    <row r="177" spans="1:19">
      <c r="A177" s="347"/>
      <c r="B177" s="233" t="s">
        <v>92</v>
      </c>
      <c r="C177" s="232">
        <f>J177</f>
        <v>1</v>
      </c>
      <c r="D177" s="232">
        <f>+C177</f>
        <v>1</v>
      </c>
      <c r="E177" s="232">
        <f>+D177</f>
        <v>1</v>
      </c>
      <c r="F177" s="232">
        <f>+E177</f>
        <v>1</v>
      </c>
      <c r="H177" s="28"/>
      <c r="I177" s="100" t="s">
        <v>332</v>
      </c>
      <c r="J177" s="235">
        <f>IF(J106=J176,1,
    IF(J128=J176, 2,
       IF(J150=J176,3,
           4)))</f>
        <v>1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1.6823704616909951</v>
      </c>
      <c r="D178" s="201">
        <f t="shared" ref="D178:F178" si="95">+IF($C$10=1,0,SQRT(2*ABS(INDEX($F$30:$H$33,D$177,   2    ))/($C$14*$C$10*D$39)))</f>
        <v>1.6823704616909951</v>
      </c>
      <c r="E178" s="201">
        <f t="shared" si="95"/>
        <v>1.6823704616909951</v>
      </c>
      <c r="F178" s="201">
        <f t="shared" si="95"/>
        <v>1.6823704616909951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1.217718976682568</v>
      </c>
      <c r="D179" s="201">
        <f t="shared" ref="D179:F179" si="96">+IF($C$10=1,0,SQRT(2*ABS(INDEX($F$30:$H$33,D$177,       1))/($C$14*$C$10*D$39)))</f>
        <v>1.217718976682568</v>
      </c>
      <c r="E179" s="201">
        <f t="shared" si="96"/>
        <v>1.217718976682568</v>
      </c>
      <c r="F179" s="201">
        <f t="shared" si="96"/>
        <v>1.217718976682568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34.389000000000003</v>
      </c>
      <c r="D180" s="201">
        <f t="shared" ref="D180:F181" si="97">+D178^2*$C$10*D$39*$C$14/2</f>
        <v>34.389000000000003</v>
      </c>
      <c r="E180" s="201">
        <f t="shared" si="97"/>
        <v>34.389000000000003</v>
      </c>
      <c r="F180" s="201">
        <f t="shared" si="97"/>
        <v>34.389000000000003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18.016500000000001</v>
      </c>
      <c r="D181" s="201">
        <f t="shared" si="97"/>
        <v>18.016500000000001</v>
      </c>
      <c r="E181" s="201">
        <f t="shared" si="97"/>
        <v>18.016500000000001</v>
      </c>
      <c r="F181" s="201">
        <f t="shared" si="97"/>
        <v>18.016500000000001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137.55599999999998</v>
      </c>
      <c r="D182" s="201">
        <f t="shared" ref="D182:F182" si="98">+(INDEX($F$30:$H$33,D$177,       2))*(D$43+D$38)+ IF(   INDEX($F$30:$H$33,D$177,       3)&gt;0, INDEX($F$30:$H$33,D$177,       3),0   )*D$42/2</f>
        <v>103.16699999999999</v>
      </c>
      <c r="E182" s="201">
        <f t="shared" si="98"/>
        <v>103.16699999999999</v>
      </c>
      <c r="F182" s="201">
        <f t="shared" si="98"/>
        <v>103.16699999999999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72.066000000000003</v>
      </c>
      <c r="D183" s="201">
        <f t="shared" ref="D183:F183" si="99">+(INDEX($F$30:$H$33,D$177,       1))*(D$43+D$38)+ IF(   INDEX($F$30:$H$33,D$177,       3)&gt;0, INDEX($F$30:$H$33,D$177,       3),0   )*D$42/2</f>
        <v>54.049500000000002</v>
      </c>
      <c r="E183" s="201">
        <f t="shared" si="99"/>
        <v>54.049500000000002</v>
      </c>
      <c r="F183" s="201">
        <f t="shared" si="99"/>
        <v>54.049500000000002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1484.0301747952719</v>
      </c>
      <c r="D184" s="201">
        <f t="shared" ref="D184:F184" si="100">+(D$56+D$57+  IF(   INDEX($F$30:$H$33,D$177,       3)&gt;0,+D$55, -INDEX($F$30:$H$33,D$177,       3)   )  )*D$42/2 + D180*(D$43-2/3*D178)</f>
        <v>1739.602814795272</v>
      </c>
      <c r="E184" s="201">
        <f t="shared" si="100"/>
        <v>1739.602814795272</v>
      </c>
      <c r="F184" s="201">
        <f t="shared" si="100"/>
        <v>1739.602814795272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1458.8566773710654</v>
      </c>
      <c r="D185" s="201">
        <f t="shared" ref="D185:F185" si="101">+(D$56+D$57+   IF(   INDEX($F$30:$H$33,D$177,       3)&gt;0, +D$55, -INDEX($F$30:$H$33,D$177,       3)   )    )*D$42/2+D181*(D$43-2/3*D179)</f>
        <v>1714.4293173710655</v>
      </c>
      <c r="E185" s="201">
        <f t="shared" si="101"/>
        <v>1714.4293173710655</v>
      </c>
      <c r="F185" s="201">
        <f t="shared" si="101"/>
        <v>1714.4293173710655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32.642522628934408</v>
      </c>
      <c r="D186" s="201">
        <f t="shared" ref="D186:F186" si="102">+D189*D188</f>
        <v>14.626022628934471</v>
      </c>
      <c r="E186" s="201">
        <f t="shared" si="102"/>
        <v>14.626022628934471</v>
      </c>
      <c r="F186" s="201">
        <f t="shared" si="102"/>
        <v>14.626022628934471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72.959025204727794</v>
      </c>
      <c r="D187" s="201">
        <f t="shared" ref="D187:F187" si="103">+D190*D188</f>
        <v>38.570025204727649</v>
      </c>
      <c r="E187" s="201">
        <f t="shared" si="103"/>
        <v>38.570025204727649</v>
      </c>
      <c r="F187" s="201">
        <f t="shared" si="103"/>
        <v>38.570025204727649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1182.8609999999999</v>
      </c>
      <c r="D188" s="202">
        <f t="shared" ref="D188:F188" si="104">+D$56+D$57+  IF(   INDEX($F$30:$H$33,D$177,       3)&gt;0, -INDEX($F$30:$H$33,D$177,       3)+D$55, -INDEX($F$30:$H$33,D$177,       3)   )</f>
        <v>1395.8381999999999</v>
      </c>
      <c r="E188" s="202">
        <f t="shared" si="104"/>
        <v>1395.8381999999999</v>
      </c>
      <c r="F188" s="202">
        <f t="shared" si="104"/>
        <v>1395.8381999999999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2.7596245568105138E-2</v>
      </c>
      <c r="D189" s="202">
        <f t="shared" ref="D189:F189" si="105">+ABS(D$42/2-(D185-D183)/D188)</f>
        <v>1.0478308036658168E-2</v>
      </c>
      <c r="E189" s="202">
        <f t="shared" si="105"/>
        <v>1.0478308036658168E-2</v>
      </c>
      <c r="F189" s="202">
        <f t="shared" si="105"/>
        <v>1.0478308036658168E-2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6.168013418713425E-2</v>
      </c>
      <c r="D190" s="202">
        <f t="shared" ref="D190:F190" si="106">+ABS(D$42/2-(D184-D182)/D188)</f>
        <v>2.7632160521704918E-2</v>
      </c>
      <c r="E190" s="202">
        <f t="shared" si="106"/>
        <v>2.7632160521704918E-2</v>
      </c>
      <c r="F190" s="202">
        <f t="shared" si="106"/>
        <v>2.7632160521704918E-2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0.39999999999999997</v>
      </c>
      <c r="D191" s="201">
        <f t="shared" ref="D191:F191" si="107">+D$42/6</f>
        <v>0.39999999999999997</v>
      </c>
      <c r="E191" s="201">
        <f t="shared" si="107"/>
        <v>0.39999999999999997</v>
      </c>
      <c r="F191" s="201">
        <f t="shared" si="107"/>
        <v>0.39999999999999997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251.19181763613813</v>
      </c>
      <c r="D193" s="17">
        <f t="shared" ref="D193:F193" si="108">+(D188/D$42^2)*(1+6*D189/D$42+6*D190/D$42)</f>
        <v>265.4215832611381</v>
      </c>
      <c r="E193" s="17">
        <f t="shared" si="108"/>
        <v>265.4215832611381</v>
      </c>
      <c r="F193" s="17">
        <f t="shared" si="108"/>
        <v>265.4215832611381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55.686024697013288</v>
      </c>
      <c r="L193" s="32">
        <f>+$R$193*(J194*(J195-J193)/(J193*(J195-J194)+J195*J194))</f>
        <v>179.82339883945679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320.99923609949047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187.85933047925636</v>
      </c>
      <c r="D194" s="5">
        <f t="shared" ref="D194:F194" si="109">+(D188/D$42^2)*(1+6*D189/D$42-6*D190/D$42)</f>
        <v>231.94065860425647</v>
      </c>
      <c r="E194" s="5">
        <f t="shared" si="109"/>
        <v>231.94065860425647</v>
      </c>
      <c r="F194" s="5">
        <f t="shared" si="109"/>
        <v>231.94065860425647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222.85629452074363</v>
      </c>
      <c r="D195" s="5">
        <f t="shared" ref="D195:F195" si="110">+(D188/D$42^2)*(1-6*D189/D$42+6*D190/D$42)</f>
        <v>252.7253830624102</v>
      </c>
      <c r="E195" s="5">
        <f t="shared" si="110"/>
        <v>252.7253830624102</v>
      </c>
      <c r="F195" s="5">
        <f t="shared" si="110"/>
        <v>252.7253830624102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159.52380736386189</v>
      </c>
      <c r="D196" s="5">
        <f t="shared" ref="D196:F196" si="111">+(D188/D$42^2)*(1-6*D189/D$42-6*D190/D$42)</f>
        <v>219.2444584055286</v>
      </c>
      <c r="E196" s="5">
        <f t="shared" si="111"/>
        <v>219.2444584055286</v>
      </c>
      <c r="F196" s="5">
        <f t="shared" si="111"/>
        <v>219.2444584055286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156.75781250000003</v>
      </c>
      <c r="D197" s="5">
        <f t="shared" ref="D197:F197" si="112">AVERAGE(D196,D193)-$C$14*D$43</f>
        <v>193.73302083333337</v>
      </c>
      <c r="E197" s="5">
        <f t="shared" si="112"/>
        <v>193.73302083333337</v>
      </c>
      <c r="F197" s="5">
        <f t="shared" si="112"/>
        <v>193.73302083333337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237.02405607844088</v>
      </c>
      <c r="D198" s="237">
        <f t="shared" ref="D198:F198" si="113">(D193+MAX(D194,D195))/2</f>
        <v>259.07348316177416</v>
      </c>
      <c r="E198" s="237">
        <f t="shared" si="113"/>
        <v>259.07348316177416</v>
      </c>
      <c r="F198" s="237">
        <f t="shared" si="113"/>
        <v>259.07348316177416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349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347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14">+(E$39+E$46)*4</f>
        <v>3.3</v>
      </c>
      <c r="F203" s="16">
        <f t="shared" si="114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796.23171386718764</v>
      </c>
      <c r="D204" s="16">
        <f>D197*(D$42^2-(D$39+D$46)^2)</f>
        <v>984.04266269531263</v>
      </c>
      <c r="E204" s="16">
        <f>E197*(E$42^2-(E$39+E$46)^2)</f>
        <v>984.04266269531263</v>
      </c>
      <c r="F204" s="16">
        <f>F197*(F$42^2-(F$39+F$46)^2)</f>
        <v>984.04266269531263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1418.784140558387</v>
      </c>
      <c r="D205" s="16">
        <f>+D207*1000*D$203*D$46</f>
        <v>1418.784140558387</v>
      </c>
      <c r="E205" s="16">
        <f t="shared" ref="E205:F205" si="115">+E207*1000*E$203*E$46</f>
        <v>1418.784140558387</v>
      </c>
      <c r="F205" s="16">
        <f t="shared" si="115"/>
        <v>1418.784140558387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0.74240719241695818</v>
      </c>
      <c r="D206" s="16">
        <f>+(D197*(D42^2-(D$39+D$46)^2)/  ( D203  ) /D46)/1000</f>
        <v>0.91752229621940584</v>
      </c>
      <c r="E206" s="16">
        <f>+(E197*(E42^2-(E$39+E$46)^2)/  ( E203  ) /E46)/1000</f>
        <v>0.91752229621940584</v>
      </c>
      <c r="F206" s="16">
        <f>+(F197*(F42^2-(F$39+F$46)^2)/  ( F203  ) /F46)/1000</f>
        <v>0.91752229621940584</v>
      </c>
      <c r="G206" s="24" t="s">
        <v>32</v>
      </c>
      <c r="H206" s="28"/>
      <c r="I206" s="162" t="s">
        <v>324</v>
      </c>
      <c r="J206" s="203">
        <f>+MAX(C206:F206)</f>
        <v>0.91752229621940584</v>
      </c>
      <c r="K206" t="s">
        <v>308</v>
      </c>
      <c r="L206" s="203">
        <f>+MIN(C207:F207)</f>
        <v>1.3228756555322954</v>
      </c>
    </row>
    <row r="207" spans="1:19">
      <c r="A207" s="183"/>
      <c r="B207" s="1" t="s">
        <v>129</v>
      </c>
      <c r="C207" s="16">
        <f>+MIN(C208:C210)</f>
        <v>1.3228756555322954</v>
      </c>
      <c r="D207" s="16">
        <f>+MIN(D208:D210)</f>
        <v>1.3228756555322954</v>
      </c>
      <c r="E207" s="16">
        <f t="shared" ref="E207:F207" si="116">+MIN(E208:E210)</f>
        <v>1.3228756555322954</v>
      </c>
      <c r="F207" s="16">
        <f t="shared" si="116"/>
        <v>1.3228756555322954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1.3228756555322954</v>
      </c>
      <c r="D208" s="16">
        <f>0.75*SQRT($C$16)/3</f>
        <v>1.3228756555322954</v>
      </c>
      <c r="E208" s="16">
        <f t="shared" ref="E208:F208" si="117">0.75*SQRT($C$16)/3</f>
        <v>1.3228756555322954</v>
      </c>
      <c r="F208" s="16">
        <f t="shared" si="117"/>
        <v>1.3228756555322954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2.023999752964412</v>
      </c>
      <c r="D209" s="16">
        <f>0.75*0.17*(1+2/1)*SQRT($C$16)</f>
        <v>2.023999752964412</v>
      </c>
      <c r="E209" s="16">
        <f t="shared" ref="E209:F209" si="118">0.75*0.17*(1+2/1)*SQRT($C$16)</f>
        <v>2.023999752964412</v>
      </c>
      <c r="F209" s="16">
        <f t="shared" si="118"/>
        <v>2.023999752964412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1.9564128331090347</v>
      </c>
      <c r="D210" s="16">
        <f>0.75*SQRT($C$16)*0.083*(40*D$46/(D$203)+2)</f>
        <v>1.9564128331090347</v>
      </c>
      <c r="E210" s="16">
        <f t="shared" ref="E210:F210" si="119">0.75*SQRT($C$16)*0.083*(40*E$46/(E$203)+2)</f>
        <v>1.9564128331090347</v>
      </c>
      <c r="F210" s="16">
        <f t="shared" si="119"/>
        <v>1.9564128331090347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323.21108411766124</v>
      </c>
      <c r="D212" s="16">
        <f t="shared" ref="D212:F212" si="120">+(D$198*D$42-$C$12*D$40-$C$14*D$47)*(D$42/2-D$39/2-D$46)</f>
        <v>356.28522474266117</v>
      </c>
      <c r="E212" s="16">
        <f t="shared" si="120"/>
        <v>356.28522474266117</v>
      </c>
      <c r="F212" s="16">
        <f t="shared" si="120"/>
        <v>356.28522474266117</v>
      </c>
      <c r="G212" s="23" t="s">
        <v>41</v>
      </c>
      <c r="H212" s="28"/>
      <c r="I212" s="162" t="s">
        <v>323</v>
      </c>
      <c r="J212" s="203">
        <f>+MAX(C212:F212)</f>
        <v>356.28522474266117</v>
      </c>
      <c r="K212" t="s">
        <v>308</v>
      </c>
      <c r="L212" s="4">
        <f>+MIN(C213:F213)</f>
        <v>526.23993577074702</v>
      </c>
    </row>
    <row r="213" spans="1:13">
      <c r="A213" s="183"/>
      <c r="B213" s="1" t="s">
        <v>127</v>
      </c>
      <c r="C213" s="16">
        <f>+C215*1000*C$42*C$46</f>
        <v>526.23993577074702</v>
      </c>
      <c r="D213" s="16">
        <f t="shared" ref="D213:F213" si="121">+D215*1000*D$42*D$46</f>
        <v>526.23993577074702</v>
      </c>
      <c r="E213" s="16">
        <f t="shared" si="121"/>
        <v>526.23993577074702</v>
      </c>
      <c r="F213" s="16">
        <f t="shared" si="121"/>
        <v>526.23993577074702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0.41437318476623231</v>
      </c>
      <c r="D214" s="16">
        <f>+D$212/($C$42*$C$46)/1000</f>
        <v>0.4567759291572579</v>
      </c>
      <c r="E214" s="16">
        <f>+E$212/($C$42*$C$46)/1000</f>
        <v>0.4567759291572579</v>
      </c>
      <c r="F214" s="16">
        <f>+F$212/($C$42*$C$46)/1000</f>
        <v>0.4567759291572579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0.67466658432147064</v>
      </c>
      <c r="D215" s="16">
        <f t="shared" ref="D215:F215" si="122">+SQRT($C$16)*0.17*0.75</f>
        <v>0.67466658432147064</v>
      </c>
      <c r="E215" s="16">
        <f t="shared" si="122"/>
        <v>0.67466658432147064</v>
      </c>
      <c r="F215" s="16">
        <f t="shared" si="122"/>
        <v>0.67466658432147064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347"/>
      <c r="B217" s="275"/>
      <c r="C217" s="344"/>
      <c r="D217" s="344"/>
      <c r="E217" s="344"/>
      <c r="F217" s="344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344"/>
      <c r="D218" s="344"/>
      <c r="E218" s="344"/>
      <c r="F218" s="344"/>
      <c r="G218" s="162"/>
      <c r="H218" s="28"/>
      <c r="I218" s="100"/>
      <c r="J218" s="203"/>
    </row>
    <row r="219" spans="1:13">
      <c r="A219" s="347"/>
      <c r="B219" s="164" t="s">
        <v>139</v>
      </c>
      <c r="C219" s="16">
        <f>+(C193-C$40*$C$12-(C$47)*$C$14)*C$42  *((C$42-C$39)/2)^2/2</f>
        <v>216.02797849993757</v>
      </c>
      <c r="D219" s="16">
        <f t="shared" ref="D219:E219" si="123">+(D193-D$40*$C$12-(D$47)*$C$14)*D$42  *((D$42-D$39)/2)^2/2</f>
        <v>231.43881467181257</v>
      </c>
      <c r="E219" s="16">
        <f t="shared" si="123"/>
        <v>231.43881467181257</v>
      </c>
      <c r="F219" s="16">
        <f>+(F193-F$40*$C$12-(F$47)*$C$14)*F$42  *((F$42-F$39)/2)^2/2</f>
        <v>231.43881467181257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2.3011721391273574E-3</v>
      </c>
      <c r="D220" s="249">
        <f>0.85*$C$16/$C$15*(1-SQRT((1-2*$C$15/0.85/$C$16*((D219/D$42/D$46^2)/1000)/0.9/$C$15)))</f>
        <v>2.4690648653080795E-3</v>
      </c>
      <c r="E220" s="249">
        <f>0.85*$C$16/$C$15*(1-SQRT((1-2*$C$15/0.85/$C$16*((E219/E$42/E$46^2)/1000)/0.9/$C$15)))</f>
        <v>2.4690648653080795E-3</v>
      </c>
      <c r="F220" s="249">
        <f>0.85*$C$16/$C$15*(1-SQRT((1-2*$C$15/0.85/$C$16*((F219/F$42/F$46^2)/1000)/0.9/$C$15)))</f>
        <v>2.4690648653080795E-3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22.09125253562263</v>
      </c>
      <c r="D222" s="16">
        <f>+IF(D221&gt;D220,D$42*D$40*100*100*D221,D$42*D40*100*100*D220)</f>
        <v>23.703022706957562</v>
      </c>
      <c r="E222" s="16">
        <f>+IF(E221&gt;E220,E$42*E$40*100*100*E221,E$42*E40*100*100*E220)</f>
        <v>23.703022706957562</v>
      </c>
      <c r="F222" s="16">
        <f>+IF(F221&gt;F220,F$42*F$40*100*100*F221,F$42*F40*100*100*F220)</f>
        <v>23.703022706957562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6</v>
      </c>
      <c r="D224" s="240">
        <f>ROUNDUP(D222/VLOOKUP(D223,$K$238:$L$243,2,FALSE),0 )</f>
        <v>7</v>
      </c>
      <c r="E224" s="240">
        <f>ROUNDUP(E222/VLOOKUP(E223,$K$238:$L$243,2,FALSE),0 )</f>
        <v>7</v>
      </c>
      <c r="F224" s="240">
        <f>ROUNDUP(F222/VLOOKUP(F223,$K$238:$L$243,2,FALSE),0 )</f>
        <v>7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0.17307692307692307</v>
      </c>
      <c r="D225" s="16">
        <f t="shared" ref="D225:F225" si="124">(D$42-D$45*2)/($G$224-1)</f>
        <v>0.17307692307692307</v>
      </c>
      <c r="E225" s="16">
        <f t="shared" si="124"/>
        <v>0.17307692307692307</v>
      </c>
      <c r="F225" s="16">
        <f t="shared" si="124"/>
        <v>0.17307692307692307</v>
      </c>
      <c r="G225" s="22" t="s">
        <v>50</v>
      </c>
      <c r="H225" s="28"/>
      <c r="I225" s="100"/>
      <c r="J225" s="203"/>
      <c r="M225" s="13"/>
    </row>
    <row r="226" spans="1:13" ht="15.75" thickBot="1">
      <c r="A226" s="347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347"/>
      <c r="B228" s="164" t="s">
        <v>139</v>
      </c>
      <c r="C228" s="16">
        <f>+(($H$31-C$57)/(C42)*   ((C42-C39)/2)^2)/2</f>
        <v>165.99626093749998</v>
      </c>
      <c r="D228" s="16">
        <f t="shared" ref="D228:F228" si="125">+(($H$31-D$57)/(D42)*   ((D42-D39)/2)^2)/2</f>
        <v>158.30696093749998</v>
      </c>
      <c r="E228" s="16">
        <f t="shared" si="125"/>
        <v>158.30696093749998</v>
      </c>
      <c r="F228" s="16">
        <f t="shared" si="125"/>
        <v>158.30696093749998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1.7596423436572425E-3</v>
      </c>
      <c r="D229" s="249">
        <f>0.85*$C$16/$C$15*(1-SQRT((1-2*$C$15/0.85/$C$16*((D228/D$42/D$46^2)/1000)/0.9/$C$15)))</f>
        <v>1.6768882195219231E-3</v>
      </c>
      <c r="E229" s="249">
        <f>0.85*$C$16/$C$15*(1-SQRT((1-2*$C$15/0.85/$C$16*((E228/E$42/E$46^2)/1000)/0.9/$C$15)))</f>
        <v>1.6768882195219231E-3</v>
      </c>
      <c r="F229" s="249">
        <f>0.85*$C$16/$C$15*(1-SQRT((1-2*$C$15/0.85/$C$16*((F228/F$42/F$46^2)/1000)/0.9/$C$15)))</f>
        <v>1.6768882195219231E-3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17.28</v>
      </c>
      <c r="D231" s="16">
        <f>+IF(D230&gt;D229,D$42*D$40*100*100*D230,D$42*D40*100*100*D229)</f>
        <v>17.28</v>
      </c>
      <c r="E231" s="16">
        <f>+IF(E230&gt;E229,E$42*E$40*100*100*E230,E$42*E40*100*100*E229)</f>
        <v>17.28</v>
      </c>
      <c r="F231" s="16">
        <f>+IF(F230&gt;F229,F$42*F$40*100*100*F230,F$42*F40*100*100*F229)</f>
        <v>17.28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5</v>
      </c>
      <c r="D233" s="240">
        <f>ROUNDUP(D231/VLOOKUP(D232,$K$238:$L$243,2,FALSE),0 )</f>
        <v>5</v>
      </c>
      <c r="E233" s="240">
        <f>ROUNDUP(E231/VLOOKUP(E232,$K$238:$L$243,2,FALSE),0 )</f>
        <v>5</v>
      </c>
      <c r="F233" s="240">
        <f>ROUNDUP(F231/VLOOKUP(F232,$K$238:$L$243,2,FALSE),0 )</f>
        <v>5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0.17307692307692307</v>
      </c>
      <c r="D234" s="16">
        <f t="shared" ref="D234:F234" si="126">(D$42-D$45*2)/($G$233-1)</f>
        <v>0.17307692307692307</v>
      </c>
      <c r="E234" s="16">
        <f t="shared" si="126"/>
        <v>0.17307692307692307</v>
      </c>
      <c r="F234" s="16">
        <f t="shared" si="126"/>
        <v>0.17307692307692307</v>
      </c>
      <c r="G234" s="22" t="s">
        <v>50</v>
      </c>
      <c r="H234" s="28"/>
      <c r="I234" s="100"/>
      <c r="J234" s="203"/>
    </row>
    <row r="235" spans="1:13" ht="15.75" thickBot="1">
      <c r="A235" s="347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79" t="s">
        <v>150</v>
      </c>
      <c r="L237" s="379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-1114.4609999999998</v>
      </c>
      <c r="D240" s="241">
        <f t="shared" ref="D240:F240" si="127">($C$30)-(D$263^2*D$264)*24</f>
        <v>-1108.4609999999998</v>
      </c>
      <c r="E240" s="241">
        <f t="shared" si="127"/>
        <v>-1108.4609999999998</v>
      </c>
      <c r="F240" s="241">
        <f t="shared" si="127"/>
        <v>-1108.4609999999998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28">+SQRT(ABS($D$30)^2+ABS($E$30)^2)</f>
        <v>38.822642790644743</v>
      </c>
      <c r="E241" s="241">
        <f t="shared" si="128"/>
        <v>38.822642790644743</v>
      </c>
      <c r="F241" s="241">
        <f t="shared" si="128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139.76151404632108</v>
      </c>
      <c r="D242" s="241">
        <f t="shared" ref="D242:F242" si="129">+$C$241*D$264</f>
        <v>100.93887125567633</v>
      </c>
      <c r="E242" s="241">
        <f t="shared" si="129"/>
        <v>100.93887125567633</v>
      </c>
      <c r="F242" s="241">
        <f t="shared" si="129"/>
        <v>100.93887125567633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347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891.26099999999985</v>
      </c>
      <c r="D245" s="241">
        <f t="shared" ref="D245:F245" si="130" xml:space="preserve">    $C$31    -(D$263^2*D$264)*24</f>
        <v>897.26099999999985</v>
      </c>
      <c r="E245" s="241">
        <f t="shared" si="130"/>
        <v>897.26099999999985</v>
      </c>
      <c r="F245" s="241">
        <f t="shared" si="130"/>
        <v>897.26099999999985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31">+SQRT(ABS($D$31)^2+ABS($E$31)^2)</f>
        <v>26.343918928284001</v>
      </c>
      <c r="E246" s="241">
        <f t="shared" si="131"/>
        <v>26.343918928284001</v>
      </c>
      <c r="F246" s="241">
        <f t="shared" si="131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94.838108141822403</v>
      </c>
      <c r="D247" s="241">
        <f t="shared" ref="D247:E247" si="132">+$C$246*D$264</f>
        <v>68.494189213538405</v>
      </c>
      <c r="E247" s="241">
        <f t="shared" si="132"/>
        <v>68.494189213538405</v>
      </c>
      <c r="F247" s="241">
        <f>+$C$246*F$264</f>
        <v>68.494189213538405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-204.066</v>
      </c>
      <c r="D250" s="241">
        <f t="shared" ref="D250:F250" si="133">$C$32-(D$263^2*D$264)*24</f>
        <v>-198.066</v>
      </c>
      <c r="E250" s="241">
        <f t="shared" si="133"/>
        <v>-198.066</v>
      </c>
      <c r="F250" s="241">
        <f t="shared" si="133"/>
        <v>-198.066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34">+SQRT(ABS($D$32)^2+ABS($E$32)^2)</f>
        <v>54.698116039311628</v>
      </c>
      <c r="E251" s="241">
        <f t="shared" si="134"/>
        <v>54.698116039311628</v>
      </c>
      <c r="F251" s="241">
        <f t="shared" si="134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196.91321774152186</v>
      </c>
      <c r="D252" s="241">
        <f t="shared" ref="D252:F252" si="135">+$C$251*D$264</f>
        <v>142.21510170221023</v>
      </c>
      <c r="E252" s="241">
        <f t="shared" si="135"/>
        <v>142.21510170221023</v>
      </c>
      <c r="F252" s="241">
        <f t="shared" si="135"/>
        <v>142.21510170221023</v>
      </c>
      <c r="G252" s="18" t="s">
        <v>77</v>
      </c>
      <c r="H252" s="28"/>
      <c r="I252" s="100"/>
      <c r="J252" s="203"/>
    </row>
    <row r="253" spans="1:13">
      <c r="A253" s="347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-1043.6115</v>
      </c>
      <c r="D255" s="241">
        <f t="shared" ref="D255:F255" si="136">$C$33-(D$263^2*D$264)*24</f>
        <v>-1037.6115</v>
      </c>
      <c r="E255" s="241">
        <f t="shared" si="136"/>
        <v>-1037.6115</v>
      </c>
      <c r="F255" s="241">
        <f t="shared" si="136"/>
        <v>-1037.6115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37">+SQRT(ABS($D$33)^2+ABS($E$33)^2)</f>
        <v>54.131017912560999</v>
      </c>
      <c r="E256" s="241">
        <f t="shared" si="137"/>
        <v>54.131017912560999</v>
      </c>
      <c r="F256" s="16">
        <f t="shared" si="137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194.87166448521961</v>
      </c>
      <c r="D257" s="241">
        <f t="shared" ref="D257:F257" si="138">+$C$256*D$264</f>
        <v>140.74064657265859</v>
      </c>
      <c r="E257" s="241">
        <f t="shared" si="138"/>
        <v>140.74064657265859</v>
      </c>
      <c r="F257" s="16">
        <f t="shared" si="138"/>
        <v>140.74064657265859</v>
      </c>
      <c r="G257" s="18" t="s">
        <v>77</v>
      </c>
      <c r="H257" s="28"/>
      <c r="I257" s="100"/>
    </row>
    <row r="258" spans="1:10" ht="15.75" thickBot="1">
      <c r="A258" s="347"/>
      <c r="H258" s="28"/>
      <c r="I258" s="100"/>
    </row>
    <row r="259" spans="1:10" ht="15.75" thickBot="1">
      <c r="A259" s="200" t="s">
        <v>161</v>
      </c>
      <c r="B259" s="360" t="s">
        <v>162</v>
      </c>
      <c r="C259" s="361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1</v>
      </c>
      <c r="D262" s="1">
        <f>+D$38</f>
        <v>0</v>
      </c>
      <c r="E262" s="1">
        <f>+E$38</f>
        <v>0</v>
      </c>
      <c r="F262" s="1">
        <f>+F$38</f>
        <v>0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3.6</v>
      </c>
      <c r="D264" s="1">
        <f>+D260-D261+D262</f>
        <v>2.6</v>
      </c>
      <c r="E264" s="1">
        <f>+E260-E261+E262</f>
        <v>2.6</v>
      </c>
      <c r="F264" s="5">
        <f>+F260-F261+F262</f>
        <v>2.6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28</v>
      </c>
      <c r="D265" s="1">
        <f>+$C$16</f>
        <v>28</v>
      </c>
      <c r="E265" s="1">
        <f>+$C$16</f>
        <v>28</v>
      </c>
      <c r="F265" s="1">
        <f>+$C$16</f>
        <v>28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24870062.324007154</v>
      </c>
      <c r="D267" s="3">
        <f>4700*SQRT(D265)*1000</f>
        <v>24870062.324007154</v>
      </c>
      <c r="E267" s="3">
        <f>4700*SQRT(E265)*1000</f>
        <v>24870062.324007154</v>
      </c>
      <c r="F267" s="3">
        <f>4700*SQRT(F265)*1000</f>
        <v>24870062.324007154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 t="shared" ref="D268:E268" si="139">D263^4/12</f>
        <v>5.208333333333333E-3</v>
      </c>
      <c r="E268" s="6">
        <f t="shared" si="139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347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40">0.3*D263</f>
        <v>0.15</v>
      </c>
      <c r="E271" s="5">
        <f t="shared" si="140"/>
        <v>0.15</v>
      </c>
      <c r="F271" s="5">
        <f t="shared" si="140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50.400000000000006</v>
      </c>
      <c r="D273" s="5">
        <f>+D272*D264/D271</f>
        <v>36.400000000000006</v>
      </c>
      <c r="E273" s="5">
        <f>+E272*E264/E271</f>
        <v>36.400000000000006</v>
      </c>
      <c r="F273" s="5">
        <f>+F272*F264/F271</f>
        <v>36.400000000000006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41">+IF(D273&gt;22,"Revisar","OK")</f>
        <v>Revisar</v>
      </c>
      <c r="E274" s="16" t="str">
        <f t="shared" si="141"/>
        <v>Revisar</v>
      </c>
      <c r="F274" s="16" t="str">
        <f t="shared" si="141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32382.893651050981</v>
      </c>
      <c r="D276" s="3">
        <f>0.4*D$267*D$268/(1+D$275)</f>
        <v>32382.893651050981</v>
      </c>
      <c r="E276" s="3">
        <f>0.4*E$267*E$268/(1+E$275)</f>
        <v>32382.893651050981</v>
      </c>
      <c r="F276" s="3">
        <f>0.4*F$267*F$268/(1+F$275)</f>
        <v>32382.893651050981</v>
      </c>
      <c r="G276" s="18" t="s">
        <v>177</v>
      </c>
      <c r="H276" s="28"/>
      <c r="I276" s="100"/>
      <c r="J276" s="203"/>
    </row>
    <row r="277" spans="1:10" ht="15.75" thickBot="1">
      <c r="A277" s="347"/>
      <c r="H277" s="28"/>
      <c r="I277" s="100"/>
      <c r="J277" s="203"/>
    </row>
    <row r="278" spans="1:10" ht="15.75" thickBot="1">
      <c r="A278" s="200" t="s">
        <v>178</v>
      </c>
      <c r="B278" s="360" t="s">
        <v>179</v>
      </c>
      <c r="C278" s="361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5592.0598124776279</v>
      </c>
      <c r="D280" s="3">
        <f>PI()^2*D276/(D272*D264)^2</f>
        <v>10720.872066525153</v>
      </c>
      <c r="E280" s="3">
        <f>PI()^2*E276/(E272*E264)^2</f>
        <v>10720.872066525153</v>
      </c>
      <c r="F280" s="3">
        <f>PI()^2*F276/(F272*F264)^2</f>
        <v>10720.872066525153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1.3618868817659835</v>
      </c>
      <c r="D282" s="16">
        <f t="shared" ref="D282:F282" si="142">+IF(D240&lt;0,D$279/(1-ABS(D240)/(0.75*D$280)),"No Aplica")</f>
        <v>1.159900480558165</v>
      </c>
      <c r="E282" s="16">
        <f t="shared" si="142"/>
        <v>1.159900480558165</v>
      </c>
      <c r="F282" s="16">
        <f t="shared" si="142"/>
        <v>1.159900480558165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43">+IF(D245&lt;0,D$279/(1-ABS(D245)/(0.75*D$280)),"No Aplica")</f>
        <v>No Aplica</v>
      </c>
      <c r="E283" s="16" t="str">
        <f t="shared" si="143"/>
        <v>No Aplica</v>
      </c>
      <c r="F283" s="16" t="str">
        <f t="shared" si="143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1.0511446318873037</v>
      </c>
      <c r="D284" s="16">
        <f t="shared" ref="D284:F284" si="144">+IF(D250&lt;0,D$279/(1-ABS(D250)/(0.75*D$280)),"No Aplica")</f>
        <v>1.0252551834598376</v>
      </c>
      <c r="E284" s="16">
        <f t="shared" si="144"/>
        <v>1.0252551834598376</v>
      </c>
      <c r="F284" s="16">
        <f t="shared" si="144"/>
        <v>1.0252551834598376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1.3312596652457349</v>
      </c>
      <c r="D285" s="16">
        <f t="shared" ref="D285:F285" si="145">+IF(D255&lt;0,D$279/(1-ABS(D255)/(0.75*D$280)),"No Aplica")</f>
        <v>1.1481658140168984</v>
      </c>
      <c r="E285" s="16">
        <f t="shared" si="145"/>
        <v>1.1481658140168984</v>
      </c>
      <c r="F285" s="16">
        <f t="shared" si="145"/>
        <v>1.1481658140168984</v>
      </c>
      <c r="G285" s="194"/>
      <c r="H285" s="28"/>
      <c r="I285" s="100"/>
      <c r="J285" s="203"/>
    </row>
    <row r="286" spans="1:10">
      <c r="A286" s="347"/>
      <c r="H286" s="28"/>
      <c r="I286" s="100"/>
      <c r="J286" s="203"/>
    </row>
    <row r="287" spans="1:10">
      <c r="A287" s="347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190.33937255543691</v>
      </c>
      <c r="D289" s="5">
        <f t="shared" ref="D289:F289" si="146">+IF(D240&lt;0,D$282*D$242,D242)</f>
        <v>117.07904527645772</v>
      </c>
      <c r="E289" s="5">
        <f t="shared" si="146"/>
        <v>117.07904527645772</v>
      </c>
      <c r="F289" s="5">
        <f t="shared" si="146"/>
        <v>117.07904527645772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94.838108141822403</v>
      </c>
      <c r="D291" s="5">
        <f t="shared" ref="D291:F291" si="147">+IF(D245&lt;0,D$282*D247,D247)</f>
        <v>68.494189213538405</v>
      </c>
      <c r="E291" s="5">
        <f t="shared" si="147"/>
        <v>68.494189213538405</v>
      </c>
      <c r="F291" s="5">
        <f t="shared" si="147"/>
        <v>68.494189213538405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206.98427177665647</v>
      </c>
      <c r="D293" s="5">
        <f t="shared" ref="D293:F293" si="148">+IF(D250&lt;0,D$284*D$252,D252)</f>
        <v>145.806770186459</v>
      </c>
      <c r="E293" s="5">
        <f t="shared" si="148"/>
        <v>145.806770186459</v>
      </c>
      <c r="F293" s="5">
        <f t="shared" si="148"/>
        <v>145.806770186459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259.42478682847263</v>
      </c>
      <c r="D295" s="5">
        <f t="shared" ref="D295:F295" si="149">+IF(D255&lt;0,D$285*D257,D257)</f>
        <v>161.59359903736114</v>
      </c>
      <c r="E295" s="5">
        <f t="shared" si="149"/>
        <v>161.59359903736114</v>
      </c>
      <c r="F295" s="5">
        <f t="shared" si="149"/>
        <v>161.59359903736114</v>
      </c>
      <c r="G295" s="18" t="s">
        <v>77</v>
      </c>
      <c r="H295" s="28"/>
      <c r="I295" s="100"/>
      <c r="J295" s="203"/>
    </row>
    <row r="296" spans="1:13">
      <c r="A296" s="347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18.644712457946508</v>
      </c>
      <c r="D298" s="7">
        <f>+D$241*D$264^3/(3*D$276)*1000</f>
        <v>7.0237368432970655</v>
      </c>
      <c r="E298" s="7">
        <f>+E$241*E$264^3/(3*E$276)*1000</f>
        <v>7.0237368432970655</v>
      </c>
      <c r="F298" s="7">
        <f>+F$241*F$264^3/(3*F$276)*1000</f>
        <v>7.0237368432970655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12.651760882998671</v>
      </c>
      <c r="D299" s="7">
        <f>+D$246*D$264^3/(3*D$276)*1000</f>
        <v>4.7661040226248428</v>
      </c>
      <c r="E299" s="7">
        <f>+E$246*E$264^3/(3*E$276)*1000</f>
        <v>4.7661040226248428</v>
      </c>
      <c r="F299" s="7">
        <f>+F$246*F$264^3/(3*F$276)*1000</f>
        <v>4.7661040226248428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26.268965022394358</v>
      </c>
      <c r="D300" s="7">
        <f>+D$251*D$264^3/(3*D$276)*1000</f>
        <v>9.8959046903635812</v>
      </c>
      <c r="E300" s="7">
        <f>+E$251*E$264^3/(3*E$276)*1000</f>
        <v>9.8959046903635812</v>
      </c>
      <c r="F300" s="7">
        <f>+F$251*F$264^3/(3*F$276)*1000</f>
        <v>9.8959046903635812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25.996614127435357</v>
      </c>
      <c r="D301" s="7">
        <f>+D$256*D$264^3/(3*D$276)*1000</f>
        <v>9.7933061107639734</v>
      </c>
      <c r="E301" s="7">
        <f>+E$256*E$264^3/(3*E$276)*1000</f>
        <v>9.7933061107639734</v>
      </c>
      <c r="F301" s="7">
        <f>+F$256*F$264^3/(3*F$276)*1000</f>
        <v>9.7933061107639734</v>
      </c>
      <c r="G301" s="18" t="s">
        <v>183</v>
      </c>
      <c r="H301" s="28"/>
      <c r="I301" s="100"/>
      <c r="J301" s="203"/>
    </row>
    <row r="302" spans="1:13" ht="15.75" thickBot="1">
      <c r="A302" s="349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348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20.77880489059552</v>
      </c>
      <c r="D304" s="16">
        <f t="shared" ref="D304:E304" si="150">+IF(D240&lt;0,-D$240*D$298/1000,"Noaplica")</f>
        <v>7.7855383650579073</v>
      </c>
      <c r="E304" s="16">
        <f t="shared" si="150"/>
        <v>7.7855383650579073</v>
      </c>
      <c r="F304" s="16">
        <f>+IF(F240&lt;0,-F$240*F$298/1000,"Noaplica")</f>
        <v>7.7855383650579073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51">+IF(D245&lt;0,-D$245*D$299/1000,"No aplica")</f>
        <v>No aplica</v>
      </c>
      <c r="E305" s="16" t="str">
        <f t="shared" si="151"/>
        <v>No aplica</v>
      </c>
      <c r="F305" s="16" t="str">
        <f t="shared" si="151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5.3606026162599276</v>
      </c>
      <c r="D306" s="16">
        <f t="shared" ref="D306:F306" si="152">+IF(D250&lt;0,-D$250*D$300/1000,"No aplica")</f>
        <v>1.9600422584015531</v>
      </c>
      <c r="E306" s="16">
        <f t="shared" si="152"/>
        <v>1.9600422584015531</v>
      </c>
      <c r="F306" s="16">
        <f t="shared" si="152"/>
        <v>1.9600422584015531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27.130365464454005</v>
      </c>
      <c r="D307" s="16">
        <f t="shared" ref="D307:F307" si="153">+IF(D255&lt;0,-D$255*D$301/1000,"No aplica")</f>
        <v>10.161647043548971</v>
      </c>
      <c r="E307" s="16">
        <f t="shared" si="153"/>
        <v>10.161647043548971</v>
      </c>
      <c r="F307" s="16">
        <f t="shared" si="153"/>
        <v>10.161647043548971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211.11817744603243</v>
      </c>
      <c r="D310" s="5">
        <f t="shared" ref="D310:E310" si="154">+IF(D$274&lt;&gt;"OK",      IF(D240&lt;0,D289+D304,D242),D242)</f>
        <v>124.86458364151562</v>
      </c>
      <c r="E310" s="5">
        <f t="shared" si="154"/>
        <v>124.86458364151562</v>
      </c>
      <c r="F310" s="5">
        <f>+IF(F$274&lt;&gt;"OK",      IF(F240&lt;0,F289+F304,F242),F242)</f>
        <v>124.86458364151562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94.838108141822403</v>
      </c>
      <c r="D311" s="5">
        <f t="shared" ref="D311:F311" si="155">+IF(D$274&lt;&gt;"OK",      IF(D245&lt;0,D291+D305,D247), D247)</f>
        <v>68.494189213538405</v>
      </c>
      <c r="E311" s="5">
        <f t="shared" si="155"/>
        <v>68.494189213538405</v>
      </c>
      <c r="F311" s="5">
        <f t="shared" si="155"/>
        <v>68.494189213538405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212.34487439291641</v>
      </c>
      <c r="D312" s="5">
        <f t="shared" ref="D312:F312" si="156">+IF(D$274&lt;&gt;"OK",      IF(D250&lt;0,D293+D306,D252), D252)</f>
        <v>147.76681244486056</v>
      </c>
      <c r="E312" s="5">
        <f t="shared" si="156"/>
        <v>147.76681244486056</v>
      </c>
      <c r="F312" s="5">
        <f t="shared" si="156"/>
        <v>147.76681244486056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286.55515229292666</v>
      </c>
      <c r="D313" s="5">
        <f t="shared" ref="D313:F313" si="157">+IF(D$274&lt;&gt;"OK",      IF(D255&lt;0,D295+D307,D257), D257)</f>
        <v>171.75524608091013</v>
      </c>
      <c r="E313" s="5">
        <f t="shared" si="157"/>
        <v>171.75524608091013</v>
      </c>
      <c r="F313" s="5">
        <f t="shared" si="157"/>
        <v>171.75524608091013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347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347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-1114.4609999999998</v>
      </c>
      <c r="D322" s="5">
        <f>+D$240</f>
        <v>-1108.4609999999998</v>
      </c>
      <c r="E322" s="5">
        <f>+E$240</f>
        <v>-1108.4609999999998</v>
      </c>
      <c r="F322" s="5">
        <f>+F$240</f>
        <v>-1108.4609999999998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891.26099999999985</v>
      </c>
      <c r="D323" s="5">
        <f>+D$245</f>
        <v>897.26099999999985</v>
      </c>
      <c r="E323" s="5">
        <f>+E$245</f>
        <v>897.26099999999985</v>
      </c>
      <c r="F323" s="5">
        <f>+F$245</f>
        <v>897.26099999999985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-204.066</v>
      </c>
      <c r="D324" s="5">
        <f>+D$250</f>
        <v>-198.066</v>
      </c>
      <c r="E324" s="5">
        <f>+E$250</f>
        <v>-198.066</v>
      </c>
      <c r="F324" s="5">
        <f>+F$250</f>
        <v>-198.066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-1043.6115</v>
      </c>
      <c r="D325" s="5">
        <f>+D$255</f>
        <v>-1037.6115</v>
      </c>
      <c r="E325" s="5">
        <f>+E$255</f>
        <v>-1037.6115</v>
      </c>
      <c r="F325" s="5">
        <f>+F$255</f>
        <v>-1037.6115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67.849496769057197</v>
      </c>
      <c r="D326" s="220">
        <f t="shared" ref="D326:E326" si="158">IFERROR(IF(D322&lt;0,(ABS(D322)*100/(0.9*D$266*10))+(0.85*$C$16/$C$15*(1-
SQRT((1-2*$C$15/0.85/$C$16*((D310/0.9/D$39/(D$39*0.8-D$45)^2)/1000)/$C$15))
))*D$39*(0.8*D$39-D$45)*2*100*100,"No aplica"),
"Aumentar D")</f>
        <v>50.918308058738859</v>
      </c>
      <c r="E326" s="220">
        <f t="shared" si="158"/>
        <v>50.918308058738859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50.918308058738859</v>
      </c>
      <c r="G326" s="123" t="s">
        <v>143</v>
      </c>
      <c r="H326" s="28"/>
      <c r="I326" s="220">
        <f>+IFERROR(SQRT((1-2*$C$15/0.85/$C$16*((MAX(C310:F310)/0.9/F$39/(F$39*0.8-F$45)^2)/1000)/$C$15)),
"Aumentar D")</f>
        <v>0.79167564779568167</v>
      </c>
    </row>
    <row r="327" spans="1:39" ht="17.25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9" si="159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59"/>
        <v>No aplica</v>
      </c>
      <c r="F327" s="220" t="str">
        <f t="shared" si="159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0.37887254603067472</v>
      </c>
      <c r="J327" s="203"/>
    </row>
    <row r="328" spans="1:39" ht="17.25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44.017449494509677</v>
      </c>
      <c r="D328" s="220">
        <f t="shared" si="159"/>
        <v>31.113853029014891</v>
      </c>
      <c r="E328" s="220">
        <f t="shared" si="159"/>
        <v>31.113853029014891</v>
      </c>
      <c r="F328" s="220">
        <f t="shared" si="159"/>
        <v>31.113853029014891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82.4148561944249</v>
      </c>
      <c r="D329" s="220">
        <f t="shared" si="159"/>
        <v>57.93487680400068</v>
      </c>
      <c r="E329" s="220">
        <f t="shared" si="159"/>
        <v>57.93487680400068</v>
      </c>
      <c r="F329" s="220">
        <f t="shared" si="159"/>
        <v>57.93487680400068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 t="shared" ref="D330:F330" si="160">+D333*(D263*100)^2</f>
        <v>12.5</v>
      </c>
      <c r="E330" s="222">
        <f t="shared" si="160"/>
        <v>12.5</v>
      </c>
      <c r="F330" s="222">
        <f t="shared" si="160"/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82.4148561944249</v>
      </c>
      <c r="D331" s="220">
        <f t="shared" ref="D331:F331" si="161">+MAX(D326:D330)</f>
        <v>57.93487680400068</v>
      </c>
      <c r="E331" s="220">
        <f t="shared" si="161"/>
        <v>57.93487680400068</v>
      </c>
      <c r="F331" s="220">
        <f t="shared" si="161"/>
        <v>57.93487680400068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 t="shared" ref="D332:F332" si="162">+D$263^2*10000</f>
        <v>2500</v>
      </c>
      <c r="E332" s="5">
        <f t="shared" si="162"/>
        <v>2500</v>
      </c>
      <c r="F332" s="5">
        <f t="shared" si="162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>
        <f>IF($G$336*VLOOKUP(F335,$K$238:$L$243,2,FALSE)&lt;F331,"verificar",($G$336*VLOOKUP(F335,$K$238:$L$243,2,FALSE)))</f>
        <v>102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20</v>
      </c>
      <c r="D336" s="240">
        <f t="shared" ref="D336:F336" si="163">+ROUNDUP(D331/VLOOKUP(D335,$K$238:$L$243,2,FALSE)/4,0)*4</f>
        <v>12</v>
      </c>
      <c r="E336" s="240">
        <f t="shared" si="163"/>
        <v>12</v>
      </c>
      <c r="F336" s="240">
        <f t="shared" si="163"/>
        <v>12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5.4977871437821381E-2</v>
      </c>
      <c r="O336" s="5">
        <f>+$R$335/D336</f>
        <v>9.1629785729702304E-2</v>
      </c>
      <c r="P336" s="5">
        <f>+$R$335/E336</f>
        <v>9.1629785729702304E-2</v>
      </c>
      <c r="Q336" s="5">
        <f>+$R$335/F336</f>
        <v>9.1629785729702304E-2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>
        <f>+F334/F332</f>
        <v>4.0800000000000003E-2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1" si="164">+D340</f>
        <v>0.3</v>
      </c>
      <c r="F340" s="221">
        <f t="shared" si="164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si="164"/>
        <v>No. 4</v>
      </c>
      <c r="F341" s="221" t="str">
        <f t="shared" si="164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65">MAX(0.35, 0.062*SQRT(D265))*(D$263*1000)*(D$340*1000)/D$266* (1/100)</f>
        <v>1.25</v>
      </c>
      <c r="E343" s="5">
        <f t="shared" si="165"/>
        <v>1.25</v>
      </c>
      <c r="F343" s="5">
        <f t="shared" si="165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13</v>
      </c>
      <c r="D344" s="240">
        <f t="shared" ref="D344:F344" si="166">+ROUNDUP((D$41-D$45)/D340,0)+1</f>
        <v>10</v>
      </c>
      <c r="E344" s="240">
        <f t="shared" si="166"/>
        <v>10</v>
      </c>
      <c r="F344" s="240">
        <f t="shared" si="166"/>
        <v>10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134.93331686429414</v>
      </c>
      <c r="D345" s="5">
        <f>0.75*1/6*SQRT(D$265)*0.8*D$263*D$263*1000</f>
        <v>132.28756555322954</v>
      </c>
      <c r="E345" s="5">
        <f>0.75*1/6*SQRT(E$265)*0.8*E$263*E$263*1000</f>
        <v>132.28756555322954</v>
      </c>
      <c r="F345" s="5">
        <f>0.75*1/6*SQRT(F$265)*0.8*F$263*F$263*1000</f>
        <v>132.28756555322954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239.47971686429418</v>
      </c>
      <c r="D347" s="7">
        <f>+D345+D346</f>
        <v>236.83396555322958</v>
      </c>
      <c r="E347" s="7">
        <f>+E345+E346</f>
        <v>236.83396555322958</v>
      </c>
      <c r="F347" s="7">
        <f>+F345+F346</f>
        <v>236.83396555322958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67">+IF(E$347&gt;MAX(E316:H319),"OK","NO CUMPLE")</f>
        <v>OK</v>
      </c>
      <c r="F348" s="281" t="str">
        <f t="shared" si="167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236.83396555322958</v>
      </c>
      <c r="O348">
        <f>+(6/8*2.54)^2*PI()/4</f>
        <v>2.8502295699234246</v>
      </c>
    </row>
    <row r="349" spans="1:15" ht="15.75" thickBot="1">
      <c r="A349" s="346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80" t="s">
        <v>246</v>
      </c>
      <c r="B350" s="383"/>
      <c r="C350" s="384"/>
      <c r="D350" s="384"/>
      <c r="E350" s="384"/>
      <c r="F350" s="384"/>
      <c r="G350" s="385"/>
      <c r="H350" s="28"/>
    </row>
    <row r="351" spans="1:15">
      <c r="A351" s="381"/>
      <c r="B351" s="386"/>
      <c r="C351" s="372"/>
      <c r="D351" s="372"/>
      <c r="E351" s="372"/>
      <c r="F351" s="372"/>
      <c r="G351" s="387"/>
      <c r="H351" s="28"/>
    </row>
    <row r="352" spans="1:15">
      <c r="A352" s="381"/>
      <c r="B352" s="386"/>
      <c r="C352" s="372"/>
      <c r="D352" s="372"/>
      <c r="E352" s="372"/>
      <c r="F352" s="372"/>
      <c r="G352" s="387"/>
      <c r="H352" s="28"/>
    </row>
    <row r="353" spans="1:8">
      <c r="A353" s="381"/>
      <c r="B353" s="386"/>
      <c r="C353" s="372"/>
      <c r="D353" s="372"/>
      <c r="E353" s="372"/>
      <c r="F353" s="372"/>
      <c r="G353" s="387"/>
      <c r="H353" s="28"/>
    </row>
    <row r="354" spans="1:8">
      <c r="A354" s="381"/>
      <c r="B354" s="386"/>
      <c r="C354" s="372"/>
      <c r="D354" s="372"/>
      <c r="E354" s="372"/>
      <c r="F354" s="372"/>
      <c r="G354" s="387"/>
      <c r="H354" s="28"/>
    </row>
    <row r="355" spans="1:8">
      <c r="A355" s="381"/>
      <c r="B355" s="386"/>
      <c r="C355" s="372"/>
      <c r="D355" s="372"/>
      <c r="E355" s="372"/>
      <c r="F355" s="372"/>
      <c r="G355" s="387"/>
      <c r="H355" s="28"/>
    </row>
    <row r="356" spans="1:8">
      <c r="A356" s="381"/>
      <c r="B356" s="386"/>
      <c r="C356" s="372"/>
      <c r="D356" s="372"/>
      <c r="E356" s="372"/>
      <c r="F356" s="372"/>
      <c r="G356" s="387"/>
      <c r="H356" s="28"/>
    </row>
    <row r="357" spans="1:8">
      <c r="A357" s="381"/>
      <c r="B357" s="386"/>
      <c r="C357" s="372"/>
      <c r="D357" s="372"/>
      <c r="E357" s="372"/>
      <c r="F357" s="372"/>
      <c r="G357" s="387"/>
      <c r="H357" s="28"/>
    </row>
    <row r="358" spans="1:8">
      <c r="A358" s="381"/>
      <c r="B358" s="386"/>
      <c r="C358" s="372"/>
      <c r="D358" s="372"/>
      <c r="E358" s="372"/>
      <c r="F358" s="372"/>
      <c r="G358" s="387"/>
      <c r="H358" s="28"/>
    </row>
    <row r="359" spans="1:8">
      <c r="A359" s="381"/>
      <c r="B359" s="386"/>
      <c r="C359" s="372"/>
      <c r="D359" s="372"/>
      <c r="E359" s="372"/>
      <c r="F359" s="372"/>
      <c r="G359" s="387"/>
      <c r="H359" s="28"/>
    </row>
    <row r="360" spans="1:8">
      <c r="A360" s="381"/>
      <c r="B360" s="386"/>
      <c r="C360" s="372"/>
      <c r="D360" s="372"/>
      <c r="E360" s="372"/>
      <c r="F360" s="372"/>
      <c r="G360" s="387"/>
      <c r="H360" s="28"/>
    </row>
    <row r="361" spans="1:8">
      <c r="A361" s="381"/>
      <c r="B361" s="386"/>
      <c r="C361" s="372"/>
      <c r="D361" s="372"/>
      <c r="E361" s="372"/>
      <c r="F361" s="372"/>
      <c r="G361" s="387"/>
      <c r="H361" s="28"/>
    </row>
    <row r="362" spans="1:8">
      <c r="A362" s="381"/>
      <c r="B362" s="386"/>
      <c r="C362" s="372"/>
      <c r="D362" s="372"/>
      <c r="E362" s="372"/>
      <c r="F362" s="372"/>
      <c r="G362" s="387"/>
      <c r="H362" s="28"/>
    </row>
    <row r="363" spans="1:8">
      <c r="A363" s="381"/>
      <c r="B363" s="386"/>
      <c r="C363" s="372"/>
      <c r="D363" s="372"/>
      <c r="E363" s="372"/>
      <c r="F363" s="372"/>
      <c r="G363" s="387"/>
      <c r="H363" s="28"/>
    </row>
    <row r="364" spans="1:8">
      <c r="A364" s="381"/>
      <c r="B364" s="386"/>
      <c r="C364" s="372"/>
      <c r="D364" s="372"/>
      <c r="E364" s="372"/>
      <c r="F364" s="372"/>
      <c r="G364" s="387"/>
      <c r="H364" s="28"/>
    </row>
    <row r="365" spans="1:8">
      <c r="A365" s="381"/>
      <c r="B365" s="386"/>
      <c r="C365" s="372"/>
      <c r="D365" s="372"/>
      <c r="E365" s="372"/>
      <c r="F365" s="372"/>
      <c r="G365" s="387"/>
      <c r="H365" s="28"/>
    </row>
    <row r="366" spans="1:8">
      <c r="A366" s="381"/>
      <c r="B366" s="386"/>
      <c r="C366" s="372"/>
      <c r="D366" s="372"/>
      <c r="E366" s="372"/>
      <c r="F366" s="372"/>
      <c r="G366" s="387"/>
      <c r="H366" s="28"/>
    </row>
    <row r="367" spans="1:8">
      <c r="A367" s="381"/>
      <c r="B367" s="386"/>
      <c r="C367" s="372"/>
      <c r="D367" s="372"/>
      <c r="E367" s="372"/>
      <c r="F367" s="372"/>
      <c r="G367" s="387"/>
      <c r="H367" s="28"/>
    </row>
    <row r="368" spans="1:8">
      <c r="A368" s="381"/>
      <c r="B368" s="386"/>
      <c r="C368" s="372"/>
      <c r="D368" s="372"/>
      <c r="E368" s="372"/>
      <c r="F368" s="372"/>
      <c r="G368" s="387"/>
      <c r="H368" s="28"/>
    </row>
    <row r="369" spans="1:18" ht="121.15" customHeight="1" thickBot="1">
      <c r="A369" s="382"/>
      <c r="B369" s="388"/>
      <c r="C369" s="389"/>
      <c r="D369" s="389"/>
      <c r="E369" s="389"/>
      <c r="F369" s="389"/>
      <c r="G369" s="390"/>
      <c r="H369" s="127"/>
    </row>
    <row r="370" spans="1:18">
      <c r="A370" s="99"/>
      <c r="B370" s="344"/>
      <c r="C370" s="344"/>
      <c r="D370" s="344"/>
      <c r="E370" s="344"/>
      <c r="F370" s="344"/>
      <c r="G370" s="344"/>
    </row>
    <row r="371" spans="1:18">
      <c r="A371" s="99"/>
      <c r="B371" s="344"/>
      <c r="C371" s="344"/>
      <c r="D371" s="344"/>
      <c r="E371" s="344"/>
      <c r="F371" s="344"/>
      <c r="G371" s="344"/>
    </row>
    <row r="372" spans="1:18" ht="15.75" thickBot="1">
      <c r="A372" s="99"/>
      <c r="B372" s="344"/>
      <c r="C372" s="344"/>
      <c r="D372" s="344"/>
      <c r="E372" s="344"/>
      <c r="F372" s="344"/>
      <c r="G372" s="344"/>
    </row>
    <row r="373" spans="1:18" ht="15.75" thickBot="1">
      <c r="A373" s="99"/>
      <c r="B373" s="344"/>
      <c r="C373" s="344"/>
      <c r="D373" s="344"/>
      <c r="E373" s="344"/>
      <c r="F373" s="344"/>
      <c r="G373" s="344"/>
      <c r="O373" s="391" t="s">
        <v>247</v>
      </c>
      <c r="P373" s="392"/>
      <c r="Q373" s="392"/>
      <c r="R373" s="393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91" t="str">
        <f>"DIAGRAMA PEDESTAL "&amp;C38</f>
        <v>DIAGRAMA PEDESTAL 1</v>
      </c>
      <c r="K375" s="393"/>
      <c r="L375" s="350" t="s">
        <v>251</v>
      </c>
      <c r="M375" s="351"/>
      <c r="N375" s="111"/>
      <c r="O375" s="391" t="str">
        <f>"DIAGRAMA PEDESTAL " &amp;D38</f>
        <v>DIAGRAMA PEDESTAL 0</v>
      </c>
      <c r="P375" s="393"/>
      <c r="Q375" s="391" t="s">
        <v>251</v>
      </c>
      <c r="R375" s="393"/>
    </row>
    <row r="376" spans="1:18">
      <c r="B376" s="118" t="s">
        <v>252</v>
      </c>
      <c r="C376" s="117">
        <f>+(C263*100)^2/C375</f>
        <v>62.5</v>
      </c>
      <c r="D376" s="117">
        <f t="shared" ref="D376:F376" si="168">+(D263*100)^2/D375</f>
        <v>62.5</v>
      </c>
      <c r="E376" s="117">
        <f t="shared" si="168"/>
        <v>62.5</v>
      </c>
      <c r="F376" s="117">
        <f t="shared" si="168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>
        <f>+F334</f>
        <v>102</v>
      </c>
      <c r="G377" s="118" t="s">
        <v>257</v>
      </c>
      <c r="J377" s="113">
        <v>0</v>
      </c>
      <c r="K377" s="114">
        <f>+C388</f>
        <v>6637.3440000000001</v>
      </c>
      <c r="L377" s="115">
        <f>+C310</f>
        <v>211.11817744603243</v>
      </c>
      <c r="M377" s="115">
        <f>+C322</f>
        <v>-1114.4609999999998</v>
      </c>
      <c r="N377" s="111"/>
      <c r="O377" s="113">
        <v>0</v>
      </c>
      <c r="P377" s="114">
        <f>+D388</f>
        <v>6637.3440000000001</v>
      </c>
      <c r="Q377" s="115">
        <f>+D310</f>
        <v>124.86458364151562</v>
      </c>
      <c r="R377" s="115">
        <f>+D322</f>
        <v>-1108.4609999999998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>
        <f>+F377/2</f>
        <v>51</v>
      </c>
      <c r="G378" s="118" t="s">
        <v>257</v>
      </c>
      <c r="J378" s="116">
        <f>+C385</f>
        <v>527.38774629776628</v>
      </c>
      <c r="K378" s="116">
        <f>+C384</f>
        <v>1403.5169552264042</v>
      </c>
      <c r="L378" s="115">
        <f>+C311</f>
        <v>94.838108141822403</v>
      </c>
      <c r="M378" s="115">
        <f>+C323</f>
        <v>891.26099999999985</v>
      </c>
      <c r="N378" s="111"/>
      <c r="O378" s="116">
        <f>+D385</f>
        <v>527.38774629776628</v>
      </c>
      <c r="P378" s="114">
        <f>+D384</f>
        <v>1403.5169552264042</v>
      </c>
      <c r="Q378" s="115">
        <f>+D311</f>
        <v>68.494189213538405</v>
      </c>
      <c r="R378" s="115">
        <f>+D323</f>
        <v>897.26099999999985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487.73340000000007</v>
      </c>
      <c r="K379" s="118">
        <v>0</v>
      </c>
      <c r="L379" s="115">
        <f>+C313</f>
        <v>286.55515229292666</v>
      </c>
      <c r="M379" s="115">
        <f>+C325</f>
        <v>-1043.6115</v>
      </c>
      <c r="N379" s="111"/>
      <c r="O379" s="117">
        <f>+D390</f>
        <v>487.73340000000007</v>
      </c>
      <c r="P379" s="114">
        <v>0</v>
      </c>
      <c r="Q379" s="115">
        <f>+D313</f>
        <v>171.75524608091013</v>
      </c>
      <c r="R379" s="115">
        <f>+D325</f>
        <v>-1037.6115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212.34487439291641</v>
      </c>
      <c r="M380" s="115">
        <f>+C324</f>
        <v>-204.066</v>
      </c>
      <c r="N380" s="111"/>
      <c r="O380" s="118">
        <v>0</v>
      </c>
      <c r="P380" s="114">
        <f>+D389</f>
        <v>-3855.6</v>
      </c>
      <c r="Q380" s="115">
        <f>+D312</f>
        <v>147.76681244486056</v>
      </c>
      <c r="R380" s="115">
        <f>+D324</f>
        <v>-198.066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91" t="str">
        <f xml:space="preserve"> "DIAGRAMA PEDESTAL " &amp;E38</f>
        <v>DIAGRAMA PEDESTAL 0</v>
      </c>
      <c r="K382" s="393"/>
      <c r="L382" s="350" t="s">
        <v>251</v>
      </c>
      <c r="M382" s="351"/>
      <c r="N382" s="111"/>
      <c r="O382" s="391" t="str">
        <f>"DIAGRAMA PEDESTAL " &amp;F38</f>
        <v>DIAGRAMA PEDESTAL 0</v>
      </c>
      <c r="P382" s="393"/>
      <c r="Q382" s="391" t="s">
        <v>251</v>
      </c>
      <c r="R382" s="393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1403.5169552264042</v>
      </c>
      <c r="D384" s="116">
        <f>0.65*(0.85*D265*10*D376*D382+D378*D383-D378*D266*10)/100</f>
        <v>1403.5169552264042</v>
      </c>
      <c r="E384" s="116">
        <f>0.65*(0.85*E265*10*E376*E382+E378*E383-E378*E266*10)/100</f>
        <v>1403.5169552264042</v>
      </c>
      <c r="F384" s="116">
        <f>0.65*(0.85*F265*10*F376*F382+F378*F383-F378*F266*10)/100</f>
        <v>1403.5169552264042</v>
      </c>
      <c r="G384" s="118" t="s">
        <v>41</v>
      </c>
      <c r="J384" s="113">
        <v>0</v>
      </c>
      <c r="K384" s="114">
        <f>+E388</f>
        <v>6637.3440000000001</v>
      </c>
      <c r="L384" s="115">
        <f>+E310</f>
        <v>124.86458364151562</v>
      </c>
      <c r="M384" s="115">
        <f>+E322</f>
        <v>-1108.4609999999998</v>
      </c>
      <c r="N384" s="111"/>
      <c r="O384" s="113">
        <v>0</v>
      </c>
      <c r="P384" s="114">
        <f>+F388</f>
        <v>6637.3440000000001</v>
      </c>
      <c r="Q384" s="115">
        <f>+F310</f>
        <v>124.86458364151562</v>
      </c>
      <c r="R384" s="115">
        <f>+F322</f>
        <v>-1108.4609999999998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527.38774629776628</v>
      </c>
      <c r="D385" s="116">
        <f>0.65*(0.85*D265*10*D375*D382*(0.5*D375-D382/2)+D378*D383*(0.5*D375-D45*10)+D378*D266*10*(D380-0.5*D375))/10000</f>
        <v>527.38774629776628</v>
      </c>
      <c r="E385" s="116">
        <f>0.65*(0.85*E265*10*E375*E382*(0.5*E375-E382/2)+E378*E383*(0.5*E375-E45*10)+E378*E266*10*(E380-0.5*E375))/10000</f>
        <v>527.38774629776628</v>
      </c>
      <c r="F385" s="116">
        <f>0.65*(0.85*F265*10*F375*F382*(0.5*F375-F382/2)+F378*F383*(0.5*F375-F45*10)+F378*F266*10*(F380-0.5*F375))/10000</f>
        <v>527.38774629776628</v>
      </c>
      <c r="G385" s="118" t="s">
        <v>77</v>
      </c>
      <c r="J385" s="116">
        <f>+E385</f>
        <v>527.38774629776628</v>
      </c>
      <c r="K385" s="114">
        <f>+E384</f>
        <v>1403.5169552264042</v>
      </c>
      <c r="L385" s="115">
        <f>+E311</f>
        <v>68.494189213538405</v>
      </c>
      <c r="M385" s="115">
        <f>+E323</f>
        <v>897.26099999999985</v>
      </c>
      <c r="N385" s="111"/>
      <c r="O385" s="116">
        <f>+F385</f>
        <v>527.38774629776628</v>
      </c>
      <c r="P385" s="114">
        <f>+F384</f>
        <v>1403.5169552264042</v>
      </c>
      <c r="Q385" s="115">
        <f>+F311</f>
        <v>68.494189213538405</v>
      </c>
      <c r="R385" s="115">
        <f>+F323</f>
        <v>897.26099999999985</v>
      </c>
    </row>
    <row r="386" spans="2:27">
      <c r="B386" s="120" t="s">
        <v>266</v>
      </c>
      <c r="C386" s="121">
        <f>+C385/C384</f>
        <v>0.37576157832214596</v>
      </c>
      <c r="D386" s="121">
        <f>+D385/D384</f>
        <v>0.37576157832214596</v>
      </c>
      <c r="E386" s="121">
        <f>+E385/E384</f>
        <v>0.37576157832214596</v>
      </c>
      <c r="F386" s="121">
        <f>+F385/F384</f>
        <v>0.37576157832214596</v>
      </c>
      <c r="G386" s="118" t="s">
        <v>50</v>
      </c>
      <c r="J386" s="117">
        <f>+E390</f>
        <v>487.73340000000007</v>
      </c>
      <c r="K386" s="114">
        <v>0</v>
      </c>
      <c r="L386" s="115">
        <f>+E313</f>
        <v>171.75524608091013</v>
      </c>
      <c r="M386" s="115">
        <f>+E325</f>
        <v>-1037.6115</v>
      </c>
      <c r="N386" s="111"/>
      <c r="O386" s="117">
        <f>+F390</f>
        <v>487.73340000000007</v>
      </c>
      <c r="P386" s="114">
        <v>0</v>
      </c>
      <c r="Q386" s="115">
        <f>+F313</f>
        <v>171.75524608091013</v>
      </c>
      <c r="R386" s="115">
        <f>+F325</f>
        <v>-1037.6115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147.76681244486056</v>
      </c>
      <c r="M387" s="115">
        <f>+E324</f>
        <v>-198.066</v>
      </c>
      <c r="N387" s="111"/>
      <c r="O387" s="118">
        <v>0</v>
      </c>
      <c r="P387" s="114">
        <f>F389</f>
        <v>-3855.6</v>
      </c>
      <c r="Q387" s="115">
        <f>+F312</f>
        <v>147.76681244486056</v>
      </c>
      <c r="R387" s="115">
        <f>+F324</f>
        <v>-198.066</v>
      </c>
    </row>
    <row r="388" spans="2:27">
      <c r="B388" s="120" t="s">
        <v>267</v>
      </c>
      <c r="C388" s="116">
        <f>0.75*(0.8*0.85*C265*10*(C375*C376-C377)+C377*C266*10)/100</f>
        <v>6637.3440000000001</v>
      </c>
      <c r="D388" s="116">
        <f>0.75*(0.8*0.85*D265*10*(D375*D376-D377)+D377*D266*10)/100</f>
        <v>6637.3440000000001</v>
      </c>
      <c r="E388" s="116">
        <f>0.75*(0.8*0.85*E265*10*(E375*E376-E377)+E377*E266*10)/100</f>
        <v>6637.3440000000001</v>
      </c>
      <c r="F388" s="116">
        <f>0.75*(0.8*0.85*F265*10*(F375*F376-F377)+F377*F266*10)/100</f>
        <v>6637.3440000000001</v>
      </c>
      <c r="G388" s="118" t="s">
        <v>41</v>
      </c>
      <c r="X388" s="372"/>
      <c r="Y388" s="372"/>
      <c r="Z388" s="372"/>
      <c r="AA388" s="372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>
        <f>-F377*F266*10/100*0.9</f>
        <v>-3855.6</v>
      </c>
      <c r="G389" s="118" t="s">
        <v>41</v>
      </c>
      <c r="X389" s="344"/>
      <c r="Y389" s="344"/>
      <c r="Z389" s="344"/>
      <c r="AA389" s="344"/>
    </row>
    <row r="390" spans="2:27">
      <c r="B390" s="120" t="s">
        <v>269</v>
      </c>
      <c r="C390" s="117">
        <f>C378*C266*10*(C380-(C378*C266*10/(0.85*C265*10*C376))/2)/10000*0.9</f>
        <v>487.73340000000007</v>
      </c>
      <c r="D390" s="117">
        <f>D378*D266*10*(D380-(D378*D266*10/(0.85*D265*10*D376))/2)/10000*0.9</f>
        <v>487.73340000000007</v>
      </c>
      <c r="E390" s="117">
        <f>E378*E266*10*(E380-(E378*E266*10/(0.85*E265*10*E376))/2)/10000*0.9</f>
        <v>487.73340000000007</v>
      </c>
      <c r="F390" s="117">
        <f>F378*F266*10*(F380-(F378*F266*10/(0.85*F265*10*F376))/2)/10000*0.9</f>
        <v>487.73340000000007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700.00000000000011</v>
      </c>
      <c r="D391" s="116">
        <f>0.1*D265*10*D332/100</f>
        <v>700.00000000000011</v>
      </c>
      <c r="E391" s="116">
        <f>0.1*E265*10*E332/100</f>
        <v>700.00000000000011</v>
      </c>
      <c r="F391" s="116">
        <f>0.1*F265*10*F332/100</f>
        <v>700.00000000000011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J382:K382"/>
    <mergeCell ref="O382:P382"/>
    <mergeCell ref="Q382:R382"/>
    <mergeCell ref="X388:Y388"/>
    <mergeCell ref="Z388:AA388"/>
    <mergeCell ref="B259:C259"/>
    <mergeCell ref="B278:C278"/>
    <mergeCell ref="A350:A369"/>
    <mergeCell ref="B350:G369"/>
    <mergeCell ref="O373:R373"/>
    <mergeCell ref="C19:E19"/>
    <mergeCell ref="F19:H19"/>
    <mergeCell ref="J19:L19"/>
    <mergeCell ref="C27:E27"/>
    <mergeCell ref="F27:H27"/>
    <mergeCell ref="AJ3:AM3"/>
    <mergeCell ref="F6:G6"/>
    <mergeCell ref="J375:K375"/>
    <mergeCell ref="O375:P375"/>
    <mergeCell ref="Q375:R375"/>
    <mergeCell ref="K237:L237"/>
    <mergeCell ref="Q11:V11"/>
    <mergeCell ref="W11:Z11"/>
    <mergeCell ref="A2:B3"/>
    <mergeCell ref="Q2:V2"/>
    <mergeCell ref="Q3:V3"/>
  </mergeCells>
  <conditionalFormatting sqref="AI8:AI9 AI11 AF8 AF10">
    <cfRule type="expression" dxfId="84" priority="80">
      <formula>AF8&gt;AF7</formula>
    </cfRule>
  </conditionalFormatting>
  <conditionalFormatting sqref="AI12:AI13">
    <cfRule type="expression" dxfId="83" priority="79">
      <formula>AI12&lt;AI1048558</formula>
    </cfRule>
  </conditionalFormatting>
  <conditionalFormatting sqref="AI6 AF6">
    <cfRule type="expression" dxfId="82" priority="78">
      <formula>AF6&gt;AF5</formula>
    </cfRule>
  </conditionalFormatting>
  <conditionalFormatting sqref="AH8:AH9 AH11">
    <cfRule type="expression" dxfId="81" priority="77">
      <formula>AH8&gt;AH7</formula>
    </cfRule>
  </conditionalFormatting>
  <conditionalFormatting sqref="AH12:AH13">
    <cfRule type="expression" dxfId="80" priority="76">
      <formula>AH12&lt;AH1048558</formula>
    </cfRule>
  </conditionalFormatting>
  <conditionalFormatting sqref="AH6">
    <cfRule type="expression" dxfId="79" priority="75">
      <formula>AH6&gt;AH5</formula>
    </cfRule>
  </conditionalFormatting>
  <conditionalFormatting sqref="AF11:AF12">
    <cfRule type="expression" dxfId="78" priority="81">
      <formula>AF11&lt;AG1048547</formula>
    </cfRule>
  </conditionalFormatting>
  <conditionalFormatting sqref="C62:F62">
    <cfRule type="cellIs" dxfId="77" priority="73" operator="notEqual">
      <formula>"OK"</formula>
    </cfRule>
    <cfRule type="cellIs" dxfId="76" priority="74" operator="equal">
      <formula>"OK"</formula>
    </cfRule>
  </conditionalFormatting>
  <conditionalFormatting sqref="C73:F73">
    <cfRule type="cellIs" dxfId="75" priority="71" operator="notEqual">
      <formula>"OK"</formula>
    </cfRule>
    <cfRule type="cellIs" dxfId="74" priority="72" operator="equal">
      <formula>"OK"</formula>
    </cfRule>
  </conditionalFormatting>
  <conditionalFormatting sqref="C84:F84">
    <cfRule type="cellIs" dxfId="73" priority="69" operator="notEqual">
      <formula>"OK"</formula>
    </cfRule>
    <cfRule type="cellIs" dxfId="72" priority="70" operator="equal">
      <formula>"OK"</formula>
    </cfRule>
  </conditionalFormatting>
  <conditionalFormatting sqref="C108:F108">
    <cfRule type="cellIs" dxfId="71" priority="67" operator="notEqual">
      <formula>"OK"</formula>
    </cfRule>
    <cfRule type="cellIs" dxfId="70" priority="68" operator="equal">
      <formula>"OK"</formula>
    </cfRule>
  </conditionalFormatting>
  <conditionalFormatting sqref="C211">
    <cfRule type="cellIs" dxfId="69" priority="65" operator="notEqual">
      <formula>"OK"</formula>
    </cfRule>
    <cfRule type="cellIs" dxfId="68" priority="66" operator="equal">
      <formula>"OK"</formula>
    </cfRule>
  </conditionalFormatting>
  <conditionalFormatting sqref="D211">
    <cfRule type="cellIs" dxfId="67" priority="63" operator="notEqual">
      <formula>"OK"</formula>
    </cfRule>
    <cfRule type="cellIs" dxfId="66" priority="64" operator="equal">
      <formula>"OK"</formula>
    </cfRule>
  </conditionalFormatting>
  <conditionalFormatting sqref="E211">
    <cfRule type="cellIs" dxfId="65" priority="61" operator="notEqual">
      <formula>"OK"</formula>
    </cfRule>
    <cfRule type="cellIs" dxfId="64" priority="62" operator="equal">
      <formula>"OK"</formula>
    </cfRule>
  </conditionalFormatting>
  <conditionalFormatting sqref="F211">
    <cfRule type="cellIs" dxfId="63" priority="59" operator="notEqual">
      <formula>"OK"</formula>
    </cfRule>
    <cfRule type="cellIs" dxfId="62" priority="60" operator="equal">
      <formula>"OK"</formula>
    </cfRule>
  </conditionalFormatting>
  <conditionalFormatting sqref="C216">
    <cfRule type="cellIs" dxfId="61" priority="57" operator="notEqual">
      <formula>"OK"</formula>
    </cfRule>
    <cfRule type="cellIs" dxfId="60" priority="58" operator="equal">
      <formula>"OK"</formula>
    </cfRule>
  </conditionalFormatting>
  <conditionalFormatting sqref="D216">
    <cfRule type="cellIs" dxfId="59" priority="55" operator="notEqual">
      <formula>"OK"</formula>
    </cfRule>
    <cfRule type="cellIs" dxfId="58" priority="56" operator="equal">
      <formula>"OK"</formula>
    </cfRule>
  </conditionalFormatting>
  <conditionalFormatting sqref="E216">
    <cfRule type="cellIs" dxfId="57" priority="53" operator="notEqual">
      <formula>"OK"</formula>
    </cfRule>
    <cfRule type="cellIs" dxfId="56" priority="54" operator="equal">
      <formula>"OK"</formula>
    </cfRule>
  </conditionalFormatting>
  <conditionalFormatting sqref="F216">
    <cfRule type="cellIs" dxfId="55" priority="51" operator="notEqual">
      <formula>"OK"</formula>
    </cfRule>
    <cfRule type="cellIs" dxfId="54" priority="52" operator="equal">
      <formula>"OK"</formula>
    </cfRule>
  </conditionalFormatting>
  <conditionalFormatting sqref="C348">
    <cfRule type="cellIs" dxfId="53" priority="49" operator="notEqual">
      <formula>"OK"</formula>
    </cfRule>
    <cfRule type="cellIs" dxfId="52" priority="50" operator="equal">
      <formula>"OK"</formula>
    </cfRule>
  </conditionalFormatting>
  <conditionalFormatting sqref="D348">
    <cfRule type="cellIs" dxfId="51" priority="47" operator="notEqual">
      <formula>"OK"</formula>
    </cfRule>
    <cfRule type="cellIs" dxfId="50" priority="48" operator="equal">
      <formula>"OK"</formula>
    </cfRule>
  </conditionalFormatting>
  <conditionalFormatting sqref="E348">
    <cfRule type="cellIs" dxfId="49" priority="45" operator="notEqual">
      <formula>"OK"</formula>
    </cfRule>
    <cfRule type="cellIs" dxfId="48" priority="46" operator="equal">
      <formula>"OK"</formula>
    </cfRule>
  </conditionalFormatting>
  <conditionalFormatting sqref="F348">
    <cfRule type="cellIs" dxfId="47" priority="43" operator="notEqual">
      <formula>"OK"</formula>
    </cfRule>
    <cfRule type="cellIs" dxfId="46" priority="44" operator="equal">
      <formula>"OK"</formula>
    </cfRule>
  </conditionalFormatting>
  <conditionalFormatting sqref="D30:G33">
    <cfRule type="cellIs" dxfId="45" priority="42" operator="lessThan">
      <formula>0</formula>
    </cfRule>
  </conditionalFormatting>
  <conditionalFormatting sqref="H30">
    <cfRule type="cellIs" dxfId="44" priority="41" operator="greaterThan">
      <formula>0</formula>
    </cfRule>
  </conditionalFormatting>
  <conditionalFormatting sqref="H31">
    <cfRule type="cellIs" dxfId="43" priority="40" operator="lessThan">
      <formula>0</formula>
    </cfRule>
  </conditionalFormatting>
  <conditionalFormatting sqref="C30">
    <cfRule type="cellIs" dxfId="42" priority="39" operator="greaterThan">
      <formula>0</formula>
    </cfRule>
  </conditionalFormatting>
  <conditionalFormatting sqref="C31">
    <cfRule type="cellIs" dxfId="41" priority="38" operator="lessThan">
      <formula>0</formula>
    </cfRule>
  </conditionalFormatting>
  <conditionalFormatting sqref="C130:F130">
    <cfRule type="cellIs" dxfId="40" priority="36" operator="notEqual">
      <formula>"OK"</formula>
    </cfRule>
    <cfRule type="cellIs" dxfId="39" priority="37" operator="equal">
      <formula>"OK"</formula>
    </cfRule>
  </conditionalFormatting>
  <conditionalFormatting sqref="C152:F152">
    <cfRule type="cellIs" dxfId="38" priority="34" operator="notEqual">
      <formula>"OK"</formula>
    </cfRule>
    <cfRule type="cellIs" dxfId="37" priority="35" operator="equal">
      <formula>"OK"</formula>
    </cfRule>
  </conditionalFormatting>
  <conditionalFormatting sqref="C174:F174">
    <cfRule type="cellIs" dxfId="36" priority="32" operator="notEqual">
      <formula>"OK"</formula>
    </cfRule>
    <cfRule type="cellIs" dxfId="35" priority="33" operator="equal">
      <formula>"OK"</formula>
    </cfRule>
  </conditionalFormatting>
  <conditionalFormatting sqref="C99:F100">
    <cfRule type="cellIs" dxfId="34" priority="31" operator="greaterThan">
      <formula>$C$42/6</formula>
    </cfRule>
  </conditionalFormatting>
  <conditionalFormatting sqref="C121:F122">
    <cfRule type="cellIs" dxfId="33" priority="30" operator="greaterThan">
      <formula>$C$42/6</formula>
    </cfRule>
  </conditionalFormatting>
  <conditionalFormatting sqref="C143:F144">
    <cfRule type="cellIs" dxfId="32" priority="29" operator="greaterThan">
      <formula>$C$42/6</formula>
    </cfRule>
  </conditionalFormatting>
  <conditionalFormatting sqref="C166:F166 D165:F165">
    <cfRule type="cellIs" dxfId="31" priority="28" operator="greaterThan">
      <formula>$C$42/6</formula>
    </cfRule>
  </conditionalFormatting>
  <conditionalFormatting sqref="C189:F190">
    <cfRule type="cellIs" dxfId="30" priority="27" operator="greaterThan">
      <formula>$C$42/6</formula>
    </cfRule>
  </conditionalFormatting>
  <conditionalFormatting sqref="C225:F225">
    <cfRule type="cellIs" dxfId="29" priority="26" operator="greaterThan">
      <formula>0.25</formula>
    </cfRule>
  </conditionalFormatting>
  <conditionalFormatting sqref="C234:F234">
    <cfRule type="cellIs" dxfId="28" priority="25" operator="greaterThan">
      <formula>0.25</formula>
    </cfRule>
  </conditionalFormatting>
  <conditionalFormatting sqref="C340">
    <cfRule type="cellIs" dxfId="27" priority="24" operator="greaterThan">
      <formula>0.3</formula>
    </cfRule>
  </conditionalFormatting>
  <conditionalFormatting sqref="D23:G25 F22:G22">
    <cfRule type="cellIs" dxfId="26" priority="23" operator="lessThan">
      <formula>0</formula>
    </cfRule>
  </conditionalFormatting>
  <conditionalFormatting sqref="H22">
    <cfRule type="cellIs" dxfId="25" priority="22" operator="greaterThan">
      <formula>0</formula>
    </cfRule>
  </conditionalFormatting>
  <conditionalFormatting sqref="H23">
    <cfRule type="cellIs" dxfId="24" priority="21" operator="lessThan">
      <formula>0</formula>
    </cfRule>
  </conditionalFormatting>
  <conditionalFormatting sqref="C22">
    <cfRule type="cellIs" dxfId="23" priority="20" operator="greaterThan">
      <formula>0</formula>
    </cfRule>
  </conditionalFormatting>
  <conditionalFormatting sqref="C23:E23">
    <cfRule type="cellIs" dxfId="22" priority="19" operator="lessThan">
      <formula>0</formula>
    </cfRule>
  </conditionalFormatting>
  <conditionalFormatting sqref="C165">
    <cfRule type="cellIs" dxfId="21" priority="18" operator="greaterThan">
      <formula>$C$42/6</formula>
    </cfRule>
  </conditionalFormatting>
  <conditionalFormatting sqref="C274:F274">
    <cfRule type="cellIs" dxfId="20" priority="17" operator="equal">
      <formula>"Revisar"</formula>
    </cfRule>
  </conditionalFormatting>
  <conditionalFormatting sqref="I46:I52">
    <cfRule type="cellIs" dxfId="19" priority="15" operator="lessThan">
      <formula>1</formula>
    </cfRule>
    <cfRule type="cellIs" dxfId="18" priority="16" operator="greaterThan">
      <formula>1</formula>
    </cfRule>
  </conditionalFormatting>
  <conditionalFormatting sqref="G337">
    <cfRule type="cellIs" dxfId="17" priority="14" operator="lessThan">
      <formula>10</formula>
    </cfRule>
  </conditionalFormatting>
  <conditionalFormatting sqref="G336">
    <cfRule type="cellIs" dxfId="16" priority="10" operator="lessThan">
      <formula>MAX($C$336:$F$336)</formula>
    </cfRule>
    <cfRule type="cellIs" dxfId="15" priority="13" operator="greaterThan">
      <formula>20</formula>
    </cfRule>
  </conditionalFormatting>
  <conditionalFormatting sqref="G233">
    <cfRule type="cellIs" dxfId="14" priority="12" operator="lessThan">
      <formula>MAX($C$233:$F$233)</formula>
    </cfRule>
  </conditionalFormatting>
  <conditionalFormatting sqref="G224">
    <cfRule type="cellIs" dxfId="13" priority="11" operator="lessThan">
      <formula>MAX($C$224:$F$224)</formula>
    </cfRule>
  </conditionalFormatting>
  <conditionalFormatting sqref="C39">
    <cfRule type="cellIs" dxfId="12" priority="82" operator="lessThan">
      <formula>$L$34</formula>
    </cfRule>
  </conditionalFormatting>
  <conditionalFormatting sqref="C42">
    <cfRule type="cellIs" dxfId="11" priority="83" operator="greaterThan">
      <formula>$J$36/2</formula>
    </cfRule>
  </conditionalFormatting>
  <conditionalFormatting sqref="L40:L43">
    <cfRule type="cellIs" dxfId="10" priority="9" operator="greaterThan">
      <formula>$C$40</formula>
    </cfRule>
  </conditionalFormatting>
  <conditionalFormatting sqref="A2:B3 C30:H33 C38:F45 C223:G224 C232:G233 C335:G336 C340:F341 B5:D16 B22:H25 B38:B46">
    <cfRule type="expression" dxfId="9" priority="6" stopIfTrue="1">
      <formula>$J$2=1</formula>
    </cfRule>
  </conditionalFormatting>
  <conditionalFormatting sqref="C326:F329">
    <cfRule type="cellIs" dxfId="8" priority="8" operator="equal">
      <formula>"Aumentar D"</formula>
    </cfRule>
  </conditionalFormatting>
  <conditionalFormatting sqref="D22:E22">
    <cfRule type="cellIs" dxfId="7" priority="7" operator="lessThan">
      <formula>0</formula>
    </cfRule>
  </conditionalFormatting>
  <conditionalFormatting sqref="C40">
    <cfRule type="expression" dxfId="6" priority="5">
      <formula>AND($C$40&lt;&gt;0.4, $J$5=1)</formula>
    </cfRule>
  </conditionalFormatting>
  <conditionalFormatting sqref="I326">
    <cfRule type="cellIs" dxfId="5" priority="4" operator="equal">
      <formula>"Aumentar D"</formula>
    </cfRule>
  </conditionalFormatting>
  <conditionalFormatting sqref="M45:M46">
    <cfRule type="cellIs" dxfId="4" priority="3" operator="equal">
      <formula>"Aumentar D"</formula>
    </cfRule>
  </conditionalFormatting>
  <conditionalFormatting sqref="C43">
    <cfRule type="expression" dxfId="3" priority="84">
      <formula>AND($C$43&lt;&gt;1, $J$5=1)</formula>
    </cfRule>
    <cfRule type="expression" dxfId="2" priority="85">
      <formula>AND($C$43&lt;$L$35, $J$5&lt;&gt;1)</formula>
    </cfRule>
  </conditionalFormatting>
  <conditionalFormatting sqref="J339">
    <cfRule type="cellIs" dxfId="1" priority="1" operator="notEqual">
      <formula>"OK"</formula>
    </cfRule>
    <cfRule type="cellIs" dxfId="0" priority="2" operator="equal">
      <formula>"OK"</formula>
    </cfRule>
  </conditionalFormatting>
  <dataValidations disablePrompts="1"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23:F223 C341 C232:F232 C335:F335">
      <formula1>$K$238:$K$243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Dis_Cuadrado</vt:lpstr>
      <vt:lpstr>Despiece</vt:lpstr>
      <vt:lpstr>Dis_Cuadrado (2)</vt:lpstr>
      <vt:lpstr>Hoja1</vt:lpstr>
      <vt:lpstr>Dis_Cuadrado!Área_de_impresión</vt:lpstr>
      <vt:lpstr>'Dis_Cuadrado (2)'!Área_de_impresión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2025-03-17T21:06:53Z</dcterms:modified>
</cp:coreProperties>
</file>